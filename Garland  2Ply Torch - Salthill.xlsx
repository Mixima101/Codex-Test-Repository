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ALL JOBS BY #-NUMBER\ALL JOBS BY #-NUMBER\#17,700 - #17,799\PROD #17,771 - SALTHILL - ROYAL OAK PARK\Quote - Garland - Salthill - Royal Oak Park\"/>
    </mc:Choice>
  </mc:AlternateContent>
  <xr:revisionPtr revIDLastSave="0" documentId="13_ncr:1_{C1137FC5-8BB7-4FF1-B71E-50ED98602E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BS Estimate" sheetId="1" r:id="rId1"/>
    <sheet name="Job Codes" sheetId="3" r:id="rId2"/>
    <sheet name="Schedule of Values" sheetId="4" r:id="rId3"/>
  </sheets>
  <definedNames>
    <definedName name="MAN_HOURS" localSheetId="0">'SBS Estimate'!$F$49</definedName>
    <definedName name="_xlnm.Print_Area" localSheetId="0">'SBS Estimate'!$A$1:$G$84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7" i="1" l="1"/>
  <c r="E37" i="1" s="1"/>
  <c r="A66" i="1"/>
  <c r="E66" i="1" s="1"/>
  <c r="I25" i="4"/>
  <c r="G39" i="4"/>
  <c r="G40" i="4" s="1"/>
  <c r="H37" i="4"/>
  <c r="H36" i="4"/>
  <c r="H35" i="4"/>
  <c r="J37" i="4"/>
  <c r="I37" i="4"/>
  <c r="I36" i="4"/>
  <c r="J36" i="4" s="1"/>
  <c r="I35" i="4"/>
  <c r="J35" i="4" s="1"/>
  <c r="I31" i="4"/>
  <c r="I30" i="4"/>
  <c r="I29" i="4"/>
  <c r="I28" i="4"/>
  <c r="I27" i="4"/>
  <c r="I26" i="4"/>
  <c r="I24" i="4"/>
  <c r="I23" i="4"/>
  <c r="I22" i="4"/>
  <c r="I21" i="4"/>
  <c r="I18" i="4"/>
  <c r="I17" i="4"/>
  <c r="I16" i="4"/>
  <c r="I15" i="4"/>
  <c r="I12" i="4"/>
  <c r="I11" i="4"/>
  <c r="I10" i="4"/>
  <c r="F37" i="4"/>
  <c r="F36" i="4"/>
  <c r="F35" i="4"/>
  <c r="E53" i="1"/>
  <c r="F53" i="1" s="1"/>
  <c r="A75" i="1"/>
  <c r="E75" i="1" s="1"/>
  <c r="A74" i="1"/>
  <c r="E74" i="1" s="1"/>
  <c r="E71" i="1"/>
  <c r="D40" i="1"/>
  <c r="F40" i="1" s="1"/>
  <c r="E55" i="1"/>
  <c r="F55" i="1" s="1"/>
  <c r="E72" i="1"/>
  <c r="D11" i="3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D3" i="3" s="1"/>
  <c r="E76" i="1"/>
  <c r="D15" i="3" s="1"/>
  <c r="E78" i="1"/>
  <c r="E44" i="1"/>
  <c r="E77" i="1"/>
  <c r="E45" i="1"/>
  <c r="E46" i="1"/>
  <c r="E47" i="1"/>
  <c r="E48" i="1"/>
  <c r="E49" i="1"/>
  <c r="E50" i="1"/>
  <c r="E51" i="1"/>
  <c r="E52" i="1"/>
  <c r="E54" i="1"/>
  <c r="F54" i="1" s="1"/>
  <c r="E56" i="1"/>
  <c r="F56" i="1" s="1"/>
  <c r="E58" i="1"/>
  <c r="E67" i="1"/>
  <c r="E68" i="1"/>
  <c r="D7" i="3" s="1"/>
  <c r="E69" i="1"/>
  <c r="D22" i="4" s="1"/>
  <c r="E70" i="1"/>
  <c r="D23" i="4" s="1"/>
  <c r="E73" i="1"/>
  <c r="D12" i="3" s="1"/>
  <c r="E79" i="1"/>
  <c r="D30" i="4" s="1"/>
  <c r="B60" i="1" l="1"/>
  <c r="F49" i="1"/>
  <c r="F51" i="1"/>
  <c r="F45" i="1"/>
  <c r="F50" i="1"/>
  <c r="F47" i="1"/>
  <c r="F46" i="1"/>
  <c r="F48" i="1"/>
  <c r="D27" i="4"/>
  <c r="H27" i="4" s="1"/>
  <c r="D8" i="3"/>
  <c r="D14" i="3"/>
  <c r="D24" i="4"/>
  <c r="F24" i="4" s="1"/>
  <c r="D29" i="4"/>
  <c r="J29" i="4" s="1"/>
  <c r="D5" i="3"/>
  <c r="E38" i="1"/>
  <c r="E40" i="1" s="1"/>
  <c r="D28" i="4"/>
  <c r="J28" i="4" s="1"/>
  <c r="D13" i="3"/>
  <c r="J22" i="4"/>
  <c r="J23" i="4"/>
  <c r="H23" i="4"/>
  <c r="F23" i="4"/>
  <c r="F22" i="4"/>
  <c r="H22" i="4"/>
  <c r="D9" i="3"/>
  <c r="E57" i="1"/>
  <c r="F57" i="1" s="1"/>
  <c r="D6" i="3"/>
  <c r="E80" i="1"/>
  <c r="D10" i="3"/>
  <c r="G41" i="4"/>
  <c r="J30" i="4"/>
  <c r="H30" i="4"/>
  <c r="F30" i="4"/>
  <c r="H29" i="4" l="1"/>
  <c r="F27" i="4"/>
  <c r="G59" i="1"/>
  <c r="J27" i="4"/>
  <c r="J24" i="4"/>
  <c r="H24" i="4"/>
  <c r="F28" i="4"/>
  <c r="H28" i="4"/>
  <c r="D2" i="3"/>
  <c r="F29" i="4"/>
  <c r="E59" i="1"/>
  <c r="E60" i="1" s="1"/>
  <c r="G42" i="4"/>
  <c r="G43" i="4"/>
  <c r="E61" i="1" l="1"/>
  <c r="E62" i="1" s="1"/>
  <c r="D4" i="3" l="1"/>
  <c r="F62" i="1"/>
  <c r="E82" i="1"/>
  <c r="D17" i="3" s="1"/>
  <c r="E81" i="1"/>
  <c r="E83" i="1" l="1"/>
  <c r="D16" i="3" l="1"/>
  <c r="D21" i="4"/>
  <c r="E84" i="1"/>
  <c r="C6" i="4" l="1"/>
  <c r="D18" i="3"/>
  <c r="F83" i="1"/>
  <c r="F82" i="1"/>
  <c r="J21" i="4"/>
  <c r="F21" i="4"/>
  <c r="H21" i="4"/>
  <c r="D25" i="4" l="1"/>
  <c r="D18" i="4"/>
  <c r="D15" i="4"/>
  <c r="D10" i="4"/>
  <c r="D26" i="4"/>
  <c r="D16" i="4"/>
  <c r="D11" i="4"/>
  <c r="D12" i="4"/>
  <c r="F11" i="4" l="1"/>
  <c r="H11" i="4"/>
  <c r="J11" i="4"/>
  <c r="F15" i="4"/>
  <c r="H15" i="4"/>
  <c r="J15" i="4"/>
  <c r="J16" i="4"/>
  <c r="H16" i="4"/>
  <c r="F16" i="4"/>
  <c r="H18" i="4"/>
  <c r="J18" i="4"/>
  <c r="F18" i="4"/>
  <c r="D17" i="4"/>
  <c r="D31" i="4" s="1"/>
  <c r="H26" i="4"/>
  <c r="J26" i="4"/>
  <c r="F26" i="4"/>
  <c r="F25" i="4"/>
  <c r="J25" i="4"/>
  <c r="H25" i="4"/>
  <c r="F12" i="4"/>
  <c r="H12" i="4"/>
  <c r="J12" i="4"/>
  <c r="F10" i="4"/>
  <c r="H10" i="4"/>
  <c r="J10" i="4"/>
  <c r="J31" i="4" l="1"/>
  <c r="H31" i="4"/>
  <c r="F31" i="4"/>
  <c r="H17" i="4"/>
  <c r="F17" i="4"/>
  <c r="J17" i="4"/>
  <c r="D39" i="4"/>
  <c r="D40" i="4" s="1"/>
  <c r="D41" i="4" s="1"/>
  <c r="D42" i="4" s="1"/>
  <c r="D43" i="4" s="1"/>
  <c r="H39" i="4" l="1"/>
  <c r="H40" i="4" s="1"/>
  <c r="H41" i="4" s="1"/>
  <c r="H42" i="4" s="1"/>
  <c r="H43" i="4" s="1"/>
  <c r="F39" i="4"/>
  <c r="F40" i="4" s="1"/>
  <c r="F41" i="4" s="1"/>
  <c r="F42" i="4" s="1"/>
  <c r="F43" i="4" s="1"/>
  <c r="E43" i="4" s="1"/>
  <c r="I43" i="4" s="1"/>
  <c r="J39" i="4"/>
  <c r="J40" i="4" s="1"/>
  <c r="J41" i="4" s="1"/>
  <c r="J42" i="4" s="1"/>
  <c r="J43" i="4" s="1"/>
</calcChain>
</file>

<file path=xl/sharedStrings.xml><?xml version="1.0" encoding="utf-8"?>
<sst xmlns="http://schemas.openxmlformats.org/spreadsheetml/2006/main" count="224" uniqueCount="175">
  <si>
    <t>Quantity</t>
  </si>
  <si>
    <t xml:space="preserve">Type </t>
  </si>
  <si>
    <t>Descriptions</t>
  </si>
  <si>
    <t>Price</t>
  </si>
  <si>
    <t>Total</t>
  </si>
  <si>
    <t>SQS</t>
  </si>
  <si>
    <t>LABOUR</t>
  </si>
  <si>
    <t>Days/Hours</t>
  </si>
  <si>
    <t>Crew / Scope Description</t>
  </si>
  <si>
    <t>Rate</t>
  </si>
  <si>
    <t>NET</t>
  </si>
  <si>
    <t>TOTAL</t>
  </si>
  <si>
    <t>TOTAL SALE</t>
  </si>
  <si>
    <t>Profit</t>
  </si>
  <si>
    <t>Insurance</t>
  </si>
  <si>
    <t>Job Name:</t>
  </si>
  <si>
    <t>Type:</t>
  </si>
  <si>
    <t>Miscellaneous</t>
  </si>
  <si>
    <t>Overtime</t>
  </si>
  <si>
    <t>Net</t>
  </si>
  <si>
    <t>Overburden</t>
  </si>
  <si>
    <t>Days</t>
  </si>
  <si>
    <t>Loads</t>
  </si>
  <si>
    <t xml:space="preserve">L/S </t>
  </si>
  <si>
    <t>feet</t>
  </si>
  <si>
    <t>sqs</t>
  </si>
  <si>
    <t>days</t>
  </si>
  <si>
    <t>ft2</t>
  </si>
  <si>
    <t>MISC</t>
  </si>
  <si>
    <t>Hrs</t>
  </si>
  <si>
    <t>LOADS</t>
  </si>
  <si>
    <t>ROLLS</t>
  </si>
  <si>
    <t>% On Sale</t>
  </si>
  <si>
    <t>Per ft2</t>
  </si>
  <si>
    <t>Firewatch (2 men x 2 hrs each)</t>
  </si>
  <si>
    <t>m2</t>
  </si>
  <si>
    <t>Productivity</t>
  </si>
  <si>
    <t>ln m</t>
  </si>
  <si>
    <t>Man Hr</t>
  </si>
  <si>
    <t>Per</t>
  </si>
  <si>
    <t>trips</t>
  </si>
  <si>
    <t>Total Man Hours</t>
  </si>
  <si>
    <t>man hrs</t>
  </si>
  <si>
    <t>Dump + Rental Bin or Truck</t>
  </si>
  <si>
    <t>TEC (Truck, Equipment, Communications)</t>
  </si>
  <si>
    <t>Propane (15 sqs / bottle / layer) (10 sqs - winter)</t>
  </si>
  <si>
    <t>Safety Misc</t>
  </si>
  <si>
    <t>SHEETS</t>
  </si>
  <si>
    <t>UNITS</t>
  </si>
  <si>
    <t>CODE</t>
  </si>
  <si>
    <t>DESCRIPTION</t>
  </si>
  <si>
    <t>AMOUNT</t>
  </si>
  <si>
    <t>7080 M</t>
  </si>
  <si>
    <t>Roofing Materials</t>
  </si>
  <si>
    <t>7080 L</t>
  </si>
  <si>
    <t>Roofing Labour</t>
  </si>
  <si>
    <t>1440 M</t>
  </si>
  <si>
    <t>Freight Materials</t>
  </si>
  <si>
    <t>1410 L</t>
  </si>
  <si>
    <t>1425 O</t>
  </si>
  <si>
    <t>Room &amp; Board</t>
  </si>
  <si>
    <t>1280 E</t>
  </si>
  <si>
    <t>Crane / Forklifts / Lifts</t>
  </si>
  <si>
    <t>1210 O</t>
  </si>
  <si>
    <t>Job Truck &amp; Fuel</t>
  </si>
  <si>
    <t>1150 O</t>
  </si>
  <si>
    <t>Bins, Dumping &amp; Disposal</t>
  </si>
  <si>
    <t>Roofing Warranty</t>
  </si>
  <si>
    <t>15000 S</t>
  </si>
  <si>
    <t>Mechanical Sub</t>
  </si>
  <si>
    <t>16000 S</t>
  </si>
  <si>
    <t>1140 E</t>
  </si>
  <si>
    <t>Safety Equipment &amp; Training</t>
  </si>
  <si>
    <t>1163 O</t>
  </si>
  <si>
    <t>7095 O</t>
  </si>
  <si>
    <t>Propane</t>
  </si>
  <si>
    <t>1270 O</t>
  </si>
  <si>
    <t>Consumables, Tools, Jobshacks</t>
  </si>
  <si>
    <t>1120 O</t>
  </si>
  <si>
    <t>99999 R</t>
  </si>
  <si>
    <t>Revenue / Contract Amount</t>
  </si>
  <si>
    <t>FREIGHT - MATERIALS</t>
  </si>
  <si>
    <t>SQS / DAY</t>
  </si>
  <si>
    <t>Man Days</t>
  </si>
  <si>
    <t>Demolition</t>
  </si>
  <si>
    <t>Metal Fabrication</t>
  </si>
  <si>
    <t>Metal Install</t>
  </si>
  <si>
    <t>Room &amp; Board (5 Men)</t>
  </si>
  <si>
    <t>26 GAUGE GALV</t>
  </si>
  <si>
    <t>MB Stripping</t>
  </si>
  <si>
    <t>24 GAUGE PREFINISHED</t>
  </si>
  <si>
    <t>Supervision %</t>
  </si>
  <si>
    <t>Schedule Of Values</t>
  </si>
  <si>
    <t>Job#</t>
  </si>
  <si>
    <t>Claim # 1</t>
  </si>
  <si>
    <t>ORIGINAL CONTRACT VALUE:</t>
  </si>
  <si>
    <t>Amount</t>
  </si>
  <si>
    <t xml:space="preserve">% Complete  </t>
  </si>
  <si>
    <t>TOTAL CLAIM</t>
  </si>
  <si>
    <t>PREV CLAIMS</t>
  </si>
  <si>
    <t>THIS CLAIM</t>
  </si>
  <si>
    <t>% To claim</t>
  </si>
  <si>
    <t>Left to Claim</t>
  </si>
  <si>
    <t>MATERIALS</t>
  </si>
  <si>
    <t xml:space="preserve">Roofing                                                             </t>
  </si>
  <si>
    <t>Metal</t>
  </si>
  <si>
    <t>Freight</t>
  </si>
  <si>
    <t>Set-Up</t>
  </si>
  <si>
    <t>Install - Roofing</t>
  </si>
  <si>
    <t>Install - Metal</t>
  </si>
  <si>
    <t>GENERAL</t>
  </si>
  <si>
    <t>Crane / Forklift / Zoom Boom</t>
  </si>
  <si>
    <t>Waste Disposal</t>
  </si>
  <si>
    <t>Fuel / Propane</t>
  </si>
  <si>
    <t>Mechanical / Electrical</t>
  </si>
  <si>
    <t>Room and Board</t>
  </si>
  <si>
    <t>Security / Safety / Communications</t>
  </si>
  <si>
    <t>Warranty and Inspections</t>
  </si>
  <si>
    <t>Bonding</t>
  </si>
  <si>
    <t>Overhead</t>
  </si>
  <si>
    <t>Change Orders:</t>
  </si>
  <si>
    <t>TOTAL CONTRACT VALUE</t>
  </si>
  <si>
    <t>Less holdback @ 10%</t>
  </si>
  <si>
    <t>Sub total</t>
  </si>
  <si>
    <t>GST @ 5%</t>
  </si>
  <si>
    <t>Total Claim</t>
  </si>
  <si>
    <t>Trucraft Roofing (2005) Ltd.</t>
  </si>
  <si>
    <t>Triovest</t>
  </si>
  <si>
    <t>1000's</t>
  </si>
  <si>
    <t>Month</t>
  </si>
  <si>
    <t>Vacuum</t>
  </si>
  <si>
    <t>Vacuum Sub</t>
  </si>
  <si>
    <t>Metal Labour</t>
  </si>
  <si>
    <t>PAILS</t>
  </si>
  <si>
    <t>EACH</t>
  </si>
  <si>
    <t>DRAINS C/W U-FLOW</t>
  </si>
  <si>
    <t>P-Can + Fence</t>
  </si>
  <si>
    <t>FEET</t>
  </si>
  <si>
    <t>CANT</t>
  </si>
  <si>
    <t>CASE</t>
  </si>
  <si>
    <t>TUFF STUFF MS SILICONE SEALANT (24 / CASE)</t>
  </si>
  <si>
    <t>5 Year "Contractor" Warranty (3%)</t>
  </si>
  <si>
    <t>Crane</t>
  </si>
  <si>
    <t>GARLA-FLEX (30 FT2 / PL) - VERTICAL SEAMS</t>
  </si>
  <si>
    <t>6" GARMESH - 150' - VERTICAL SEAMS</t>
  </si>
  <si>
    <t>STRESSPLY IV PLUS CAP (75 FT2) - STRIPPING</t>
  </si>
  <si>
    <t>Install Densdeck - Adh</t>
  </si>
  <si>
    <t>Torch Base</t>
  </si>
  <si>
    <t>Torch Cap</t>
  </si>
  <si>
    <t>Install Firetape</t>
  </si>
  <si>
    <t>2 Ply SBS Stripping Torch</t>
  </si>
  <si>
    <t>travel / 3 men / round trip</t>
  </si>
  <si>
    <t>Salthill</t>
  </si>
  <si>
    <t>1/2" DENSDECK PRIME</t>
  </si>
  <si>
    <t>BOX</t>
  </si>
  <si>
    <t>INSUL-LOCK FOAM ADHESIVE</t>
  </si>
  <si>
    <t>SA BASE IV - STRIPPING (97 FT2)</t>
  </si>
  <si>
    <t>PRO-STOP FR PRIMER</t>
  </si>
  <si>
    <t>STRESSPLY IV PLUS CAP (75 FT2) - FIELD</t>
  </si>
  <si>
    <t>HPR BASE (97 FT2) - FIELD</t>
  </si>
  <si>
    <t>Roof System: 3182 ft2 - MD, 1/2" Dens, HPR Base, StressPly IV Plus Cap, Drainage,Re-Use Rubber Mat, Re-Use 1" + 2" XPS, Grass by Others</t>
  </si>
  <si>
    <t>Sub Trade - Glazing (Addendum 4)</t>
  </si>
  <si>
    <t>Sub Trade - Panels (Addendum 3)</t>
  </si>
  <si>
    <r>
      <t>Set up (Roof Load) -</t>
    </r>
    <r>
      <rPr>
        <b/>
        <sz val="10"/>
        <rFont val="Arial"/>
        <family val="2"/>
      </rPr>
      <t xml:space="preserve"> 5 man</t>
    </r>
  </si>
  <si>
    <t>SOPRADRAIN 10-G (300 FT2)</t>
  </si>
  <si>
    <t>BAGS</t>
  </si>
  <si>
    <t>SEAL-TITE SINGLE PART STPE PITCH POCKET (4)</t>
  </si>
  <si>
    <t>LENGTH</t>
  </si>
  <si>
    <t>TERM BAR</t>
  </si>
  <si>
    <t>FIRETAPE</t>
  </si>
  <si>
    <t>Re-Install Insulation</t>
  </si>
  <si>
    <t>Re-Install Rubber Matt + Fencing</t>
  </si>
  <si>
    <t>Demolition - Fence + Insulation + Rubber Mat Store</t>
  </si>
  <si>
    <t>Carpentry (Cant)</t>
  </si>
  <si>
    <t>Truck &amp; Fuel (10 Roofing / 3 Metal)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</si>
</sst>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[$-409]d\-mmm\-yy;@"/>
    <numFmt numFmtId="166" formatCode="0.0%"/>
  </numFmts>
  <fonts count="1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22"/>
      <name val="Arial"/>
      <family val="2"/>
    </font>
    <font>
      <b/>
      <sz val="12"/>
      <color indexed="22"/>
      <name val="Arial"/>
      <family val="2"/>
    </font>
    <font>
      <sz val="10"/>
      <color indexed="2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8"/>
      <name val="Arial"/>
      <family val="2"/>
    </font>
    <font>
      <b/>
      <i/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43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4" fillId="0" borderId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</cellStyleXfs>
  <cellXfs count="225">
    <xf numFmtId="0" fontId="0" fillId="0" borderId="0" xfId="0"/>
    <xf numFmtId="0" fontId="0" fillId="2" borderId="0" xfId="0" applyFill="1"/>
    <xf numFmtId="0" fontId="0" fillId="2" borderId="2" xfId="0" applyFill="1" applyBorder="1"/>
    <xf numFmtId="0" fontId="2" fillId="2" borderId="3" xfId="0" applyFont="1" applyFill="1" applyBorder="1" applyAlignment="1">
      <alignment horizontal="right"/>
    </xf>
    <xf numFmtId="0" fontId="0" fillId="2" borderId="5" xfId="0" applyFill="1" applyBorder="1"/>
    <xf numFmtId="0" fontId="2" fillId="2" borderId="6" xfId="0" applyFont="1" applyFill="1" applyBorder="1" applyAlignment="1">
      <alignment horizontal="right"/>
    </xf>
    <xf numFmtId="0" fontId="2" fillId="2" borderId="8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44" fontId="0" fillId="2" borderId="8" xfId="0" applyNumberFormat="1" applyFill="1" applyBorder="1"/>
    <xf numFmtId="0" fontId="2" fillId="2" borderId="14" xfId="0" applyFont="1" applyFill="1" applyBorder="1" applyAlignment="1">
      <alignment horizontal="right"/>
    </xf>
    <xf numFmtId="44" fontId="2" fillId="2" borderId="15" xfId="0" applyNumberFormat="1" applyFont="1" applyFill="1" applyBorder="1"/>
    <xf numFmtId="44" fontId="2" fillId="2" borderId="8" xfId="0" applyNumberFormat="1" applyFont="1" applyFill="1" applyBorder="1"/>
    <xf numFmtId="0" fontId="2" fillId="2" borderId="16" xfId="0" applyFont="1" applyFill="1" applyBorder="1" applyAlignment="1">
      <alignment horizontal="right"/>
    </xf>
    <xf numFmtId="44" fontId="2" fillId="2" borderId="17" xfId="0" applyNumberFormat="1" applyFont="1" applyFill="1" applyBorder="1"/>
    <xf numFmtId="44" fontId="0" fillId="2" borderId="18" xfId="0" applyNumberFormat="1" applyFill="1" applyBorder="1"/>
    <xf numFmtId="0" fontId="2" fillId="2" borderId="4" xfId="0" applyFont="1" applyFill="1" applyBorder="1"/>
    <xf numFmtId="0" fontId="9" fillId="2" borderId="0" xfId="0" applyFont="1" applyFill="1" applyAlignment="1">
      <alignment horizontal="right"/>
    </xf>
    <xf numFmtId="0" fontId="0" fillId="2" borderId="19" xfId="0" applyFill="1" applyBorder="1"/>
    <xf numFmtId="0" fontId="0" fillId="2" borderId="20" xfId="0" applyFill="1" applyBorder="1"/>
    <xf numFmtId="44" fontId="0" fillId="2" borderId="21" xfId="0" applyNumberFormat="1" applyFill="1" applyBorder="1"/>
    <xf numFmtId="0" fontId="0" fillId="2" borderId="1" xfId="0" applyFill="1" applyBorder="1"/>
    <xf numFmtId="44" fontId="0" fillId="2" borderId="23" xfId="0" applyNumberFormat="1" applyFill="1" applyBorder="1"/>
    <xf numFmtId="44" fontId="0" fillId="2" borderId="26" xfId="0" applyNumberFormat="1" applyFill="1" applyBorder="1"/>
    <xf numFmtId="0" fontId="0" fillId="2" borderId="27" xfId="0" applyFill="1" applyBorder="1"/>
    <xf numFmtId="0" fontId="0" fillId="2" borderId="28" xfId="0" applyFill="1" applyBorder="1"/>
    <xf numFmtId="44" fontId="0" fillId="2" borderId="29" xfId="0" applyNumberFormat="1" applyFill="1" applyBorder="1"/>
    <xf numFmtId="0" fontId="7" fillId="3" borderId="13" xfId="0" applyFont="1" applyFill="1" applyBorder="1" applyAlignment="1">
      <alignment vertical="center"/>
    </xf>
    <xf numFmtId="0" fontId="7" fillId="3" borderId="30" xfId="0" applyFont="1" applyFill="1" applyBorder="1" applyAlignment="1">
      <alignment vertical="center"/>
    </xf>
    <xf numFmtId="0" fontId="7" fillId="3" borderId="31" xfId="0" applyFont="1" applyFill="1" applyBorder="1"/>
    <xf numFmtId="0" fontId="7" fillId="3" borderId="4" xfId="0" applyFont="1" applyFill="1" applyBorder="1"/>
    <xf numFmtId="0" fontId="7" fillId="3" borderId="8" xfId="0" applyFont="1" applyFill="1" applyBorder="1"/>
    <xf numFmtId="0" fontId="6" fillId="3" borderId="3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8" fillId="2" borderId="0" xfId="0" applyFont="1" applyFill="1"/>
    <xf numFmtId="0" fontId="0" fillId="3" borderId="33" xfId="0" applyFill="1" applyBorder="1"/>
    <xf numFmtId="0" fontId="0" fillId="3" borderId="34" xfId="0" applyFill="1" applyBorder="1"/>
    <xf numFmtId="0" fontId="0" fillId="3" borderId="7" xfId="0" applyFill="1" applyBorder="1"/>
    <xf numFmtId="0" fontId="11" fillId="2" borderId="1" xfId="0" applyFont="1" applyFill="1" applyBorder="1"/>
    <xf numFmtId="0" fontId="0" fillId="2" borderId="28" xfId="0" applyFill="1" applyBorder="1" applyAlignment="1">
      <alignment horizontal="left"/>
    </xf>
    <xf numFmtId="0" fontId="2" fillId="2" borderId="32" xfId="0" applyFont="1" applyFill="1" applyBorder="1" applyAlignment="1">
      <alignment horizontal="right"/>
    </xf>
    <xf numFmtId="0" fontId="11" fillId="2" borderId="0" xfId="0" applyFont="1" applyFill="1"/>
    <xf numFmtId="0" fontId="2" fillId="2" borderId="4" xfId="0" applyFont="1" applyFill="1" applyBorder="1" applyAlignment="1">
      <alignment horizontal="right"/>
    </xf>
    <xf numFmtId="0" fontId="0" fillId="2" borderId="35" xfId="0" applyFill="1" applyBorder="1"/>
    <xf numFmtId="0" fontId="2" fillId="2" borderId="8" xfId="0" applyFont="1" applyFill="1" applyBorder="1" applyAlignment="1">
      <alignment horizontal="left"/>
    </xf>
    <xf numFmtId="0" fontId="2" fillId="2" borderId="36" xfId="0" applyFont="1" applyFill="1" applyBorder="1" applyAlignment="1">
      <alignment horizontal="right"/>
    </xf>
    <xf numFmtId="0" fontId="11" fillId="0" borderId="36" xfId="0" applyFont="1" applyBorder="1" applyAlignment="1">
      <alignment horizontal="right"/>
    </xf>
    <xf numFmtId="0" fontId="11" fillId="2" borderId="36" xfId="0" applyFont="1" applyFill="1" applyBorder="1" applyAlignment="1">
      <alignment horizontal="right"/>
    </xf>
    <xf numFmtId="10" fontId="2" fillId="2" borderId="36" xfId="0" applyNumberFormat="1" applyFont="1" applyFill="1" applyBorder="1"/>
    <xf numFmtId="44" fontId="2" fillId="2" borderId="36" xfId="2" applyFont="1" applyFill="1" applyBorder="1"/>
    <xf numFmtId="44" fontId="2" fillId="2" borderId="37" xfId="2" applyFont="1" applyFill="1" applyBorder="1" applyAlignment="1">
      <alignment horizontal="right"/>
    </xf>
    <xf numFmtId="0" fontId="2" fillId="2" borderId="16" xfId="0" applyFont="1" applyFill="1" applyBorder="1"/>
    <xf numFmtId="44" fontId="2" fillId="2" borderId="36" xfId="0" applyNumberFormat="1" applyFont="1" applyFill="1" applyBorder="1"/>
    <xf numFmtId="0" fontId="2" fillId="2" borderId="38" xfId="0" applyFont="1" applyFill="1" applyBorder="1"/>
    <xf numFmtId="164" fontId="2" fillId="2" borderId="39" xfId="0" applyNumberFormat="1" applyFont="1" applyFill="1" applyBorder="1"/>
    <xf numFmtId="164" fontId="0" fillId="2" borderId="36" xfId="0" applyNumberFormat="1" applyFill="1" applyBorder="1"/>
    <xf numFmtId="0" fontId="11" fillId="2" borderId="36" xfId="0" applyFont="1" applyFill="1" applyBorder="1"/>
    <xf numFmtId="2" fontId="11" fillId="2" borderId="39" xfId="0" applyNumberFormat="1" applyFont="1" applyFill="1" applyBorder="1"/>
    <xf numFmtId="44" fontId="0" fillId="2" borderId="23" xfId="2" applyFont="1" applyFill="1" applyBorder="1"/>
    <xf numFmtId="44" fontId="0" fillId="2" borderId="22" xfId="0" applyNumberFormat="1" applyFill="1" applyBorder="1"/>
    <xf numFmtId="2" fontId="2" fillId="2" borderId="39" xfId="0" applyNumberFormat="1" applyFont="1" applyFill="1" applyBorder="1"/>
    <xf numFmtId="0" fontId="2" fillId="0" borderId="4" xfId="0" applyFont="1" applyBorder="1"/>
    <xf numFmtId="0" fontId="2" fillId="0" borderId="0" xfId="0" applyFont="1"/>
    <xf numFmtId="44" fontId="0" fillId="0" borderId="4" xfId="2" applyFont="1" applyBorder="1"/>
    <xf numFmtId="0" fontId="11" fillId="0" borderId="4" xfId="0" applyFont="1" applyBorder="1"/>
    <xf numFmtId="0" fontId="11" fillId="0" borderId="44" xfId="0" applyFont="1" applyBorder="1"/>
    <xf numFmtId="0" fontId="11" fillId="0" borderId="36" xfId="0" applyFont="1" applyBorder="1"/>
    <xf numFmtId="44" fontId="0" fillId="0" borderId="44" xfId="2" applyFont="1" applyBorder="1"/>
    <xf numFmtId="44" fontId="12" fillId="0" borderId="36" xfId="2" applyFont="1" applyBorder="1"/>
    <xf numFmtId="0" fontId="2" fillId="2" borderId="36" xfId="0" applyFont="1" applyFill="1" applyBorder="1"/>
    <xf numFmtId="0" fontId="0" fillId="2" borderId="45" xfId="0" applyFill="1" applyBorder="1"/>
    <xf numFmtId="2" fontId="2" fillId="2" borderId="36" xfId="0" applyNumberFormat="1" applyFont="1" applyFill="1" applyBorder="1" applyAlignment="1">
      <alignment horizontal="center"/>
    </xf>
    <xf numFmtId="44" fontId="7" fillId="2" borderId="17" xfId="0" applyNumberFormat="1" applyFont="1" applyFill="1" applyBorder="1"/>
    <xf numFmtId="0" fontId="12" fillId="5" borderId="46" xfId="0" applyFont="1" applyFill="1" applyBorder="1" applyAlignment="1">
      <alignment horizontal="center" vertical="center"/>
    </xf>
    <xf numFmtId="0" fontId="11" fillId="0" borderId="16" xfId="0" applyFont="1" applyBorder="1"/>
    <xf numFmtId="44" fontId="0" fillId="0" borderId="16" xfId="2" applyFont="1" applyBorder="1"/>
    <xf numFmtId="0" fontId="0" fillId="2" borderId="22" xfId="0" applyFill="1" applyBorder="1"/>
    <xf numFmtId="4" fontId="11" fillId="0" borderId="7" xfId="0" applyNumberFormat="1" applyFont="1" applyBorder="1" applyAlignment="1">
      <alignment horizontal="right"/>
    </xf>
    <xf numFmtId="4" fontId="11" fillId="0" borderId="4" xfId="8" applyNumberFormat="1" applyFont="1" applyBorder="1" applyAlignment="1">
      <alignment horizontal="right"/>
    </xf>
    <xf numFmtId="4" fontId="11" fillId="0" borderId="4" xfId="0" applyNumberFormat="1" applyFont="1" applyBorder="1"/>
    <xf numFmtId="44" fontId="11" fillId="4" borderId="4" xfId="0" applyNumberFormat="1" applyFont="1" applyFill="1" applyBorder="1"/>
    <xf numFmtId="4" fontId="11" fillId="0" borderId="4" xfId="0" applyNumberFormat="1" applyFont="1" applyBorder="1" applyAlignment="1">
      <alignment horizontal="center"/>
    </xf>
    <xf numFmtId="9" fontId="11" fillId="0" borderId="4" xfId="10" applyFont="1" applyBorder="1" applyAlignment="1">
      <alignment horizontal="center"/>
    </xf>
    <xf numFmtId="9" fontId="11" fillId="0" borderId="4" xfId="10" applyFont="1" applyBorder="1"/>
    <xf numFmtId="0" fontId="7" fillId="0" borderId="61" xfId="0" applyFont="1" applyBorder="1" applyAlignment="1">
      <alignment horizontal="center"/>
    </xf>
    <xf numFmtId="0" fontId="7" fillId="0" borderId="62" xfId="0" applyFont="1" applyBorder="1" applyAlignment="1">
      <alignment horizontal="center"/>
    </xf>
    <xf numFmtId="0" fontId="7" fillId="4" borderId="62" xfId="0" applyFont="1" applyFill="1" applyBorder="1" applyAlignment="1">
      <alignment horizontal="center"/>
    </xf>
    <xf numFmtId="43" fontId="7" fillId="0" borderId="63" xfId="7" applyFont="1" applyBorder="1" applyAlignment="1">
      <alignment horizontal="center"/>
    </xf>
    <xf numFmtId="43" fontId="11" fillId="0" borderId="8" xfId="7" applyFont="1" applyBorder="1"/>
    <xf numFmtId="44" fontId="11" fillId="0" borderId="7" xfId="0" applyNumberFormat="1" applyFont="1" applyBorder="1" applyAlignment="1">
      <alignment horizontal="right"/>
    </xf>
    <xf numFmtId="44" fontId="11" fillId="0" borderId="50" xfId="0" applyNumberFormat="1" applyFont="1" applyBorder="1" applyAlignment="1">
      <alignment horizontal="right"/>
    </xf>
    <xf numFmtId="44" fontId="11" fillId="0" borderId="4" xfId="8" applyFont="1" applyBorder="1" applyAlignment="1">
      <alignment horizontal="right"/>
    </xf>
    <xf numFmtId="44" fontId="11" fillId="0" borderId="4" xfId="0" applyNumberFormat="1" applyFont="1" applyBorder="1"/>
    <xf numFmtId="44" fontId="11" fillId="0" borderId="8" xfId="7" applyNumberFormat="1" applyFont="1" applyBorder="1"/>
    <xf numFmtId="44" fontId="2" fillId="0" borderId="7" xfId="0" applyNumberFormat="1" applyFont="1" applyBorder="1" applyAlignment="1">
      <alignment horizontal="right"/>
    </xf>
    <xf numFmtId="44" fontId="11" fillId="0" borderId="8" xfId="0" applyNumberFormat="1" applyFont="1" applyBorder="1" applyAlignment="1">
      <alignment horizontal="right"/>
    </xf>
    <xf numFmtId="0" fontId="0" fillId="0" borderId="42" xfId="0" applyBorder="1"/>
    <xf numFmtId="0" fontId="12" fillId="0" borderId="59" xfId="0" applyFont="1" applyBorder="1" applyAlignment="1">
      <alignment horizontal="center" vertical="center"/>
    </xf>
    <xf numFmtId="4" fontId="11" fillId="9" borderId="7" xfId="0" applyNumberFormat="1" applyFont="1" applyFill="1" applyBorder="1" applyAlignment="1">
      <alignment horizontal="right"/>
    </xf>
    <xf numFmtId="44" fontId="11" fillId="0" borderId="17" xfId="0" applyNumberFormat="1" applyFont="1" applyBorder="1" applyAlignment="1">
      <alignment horizontal="right"/>
    </xf>
    <xf numFmtId="44" fontId="11" fillId="0" borderId="32" xfId="7" applyNumberFormat="1" applyFont="1" applyFill="1" applyBorder="1" applyAlignment="1">
      <alignment horizontal="right"/>
    </xf>
    <xf numFmtId="44" fontId="11" fillId="0" borderId="33" xfId="0" applyNumberFormat="1" applyFont="1" applyBorder="1" applyAlignment="1">
      <alignment horizontal="right"/>
    </xf>
    <xf numFmtId="9" fontId="11" fillId="0" borderId="50" xfId="10" applyFont="1" applyBorder="1"/>
    <xf numFmtId="44" fontId="2" fillId="7" borderId="4" xfId="7" applyNumberFormat="1" applyFont="1" applyFill="1" applyBorder="1" applyAlignment="1">
      <alignment horizontal="right"/>
    </xf>
    <xf numFmtId="44" fontId="2" fillId="7" borderId="4" xfId="0" applyNumberFormat="1" applyFont="1" applyFill="1" applyBorder="1" applyAlignment="1">
      <alignment horizontal="right"/>
    </xf>
    <xf numFmtId="44" fontId="11" fillId="0" borderId="8" xfId="7" applyNumberFormat="1" applyFont="1" applyBorder="1" applyAlignment="1">
      <alignment horizontal="right"/>
    </xf>
    <xf numFmtId="0" fontId="11" fillId="2" borderId="25" xfId="0" applyFont="1" applyFill="1" applyBorder="1"/>
    <xf numFmtId="9" fontId="11" fillId="0" borderId="4" xfId="10" applyFont="1" applyBorder="1" applyAlignment="1" applyProtection="1">
      <alignment horizontal="center"/>
      <protection locked="0"/>
    </xf>
    <xf numFmtId="44" fontId="11" fillId="0" borderId="7" xfId="0" applyNumberFormat="1" applyFont="1" applyBorder="1" applyAlignment="1" applyProtection="1">
      <alignment horizontal="right"/>
      <protection locked="0"/>
    </xf>
    <xf numFmtId="44" fontId="11" fillId="0" borderId="33" xfId="0" applyNumberFormat="1" applyFont="1" applyBorder="1" applyAlignment="1" applyProtection="1">
      <alignment horizontal="right"/>
      <protection locked="0"/>
    </xf>
    <xf numFmtId="44" fontId="11" fillId="0" borderId="8" xfId="0" applyNumberFormat="1" applyFont="1" applyBorder="1" applyAlignment="1" applyProtection="1">
      <alignment horizontal="right"/>
      <protection locked="0"/>
    </xf>
    <xf numFmtId="44" fontId="2" fillId="7" borderId="4" xfId="0" applyNumberFormat="1" applyFont="1" applyFill="1" applyBorder="1" applyAlignment="1" applyProtection="1">
      <alignment horizontal="right"/>
      <protection locked="0"/>
    </xf>
    <xf numFmtId="44" fontId="11" fillId="0" borderId="4" xfId="0" applyNumberFormat="1" applyFont="1" applyBorder="1" applyProtection="1">
      <protection locked="0"/>
    </xf>
    <xf numFmtId="44" fontId="12" fillId="7" borderId="16" xfId="0" applyNumberFormat="1" applyFont="1" applyFill="1" applyBorder="1" applyAlignment="1">
      <alignment horizontal="right"/>
    </xf>
    <xf numFmtId="9" fontId="12" fillId="0" borderId="50" xfId="10" applyFont="1" applyBorder="1" applyAlignment="1">
      <alignment horizontal="center"/>
    </xf>
    <xf numFmtId="0" fontId="13" fillId="5" borderId="47" xfId="0" applyFont="1" applyFill="1" applyBorder="1" applyAlignment="1" applyProtection="1">
      <alignment horizontal="center" vertical="center"/>
      <protection locked="0"/>
    </xf>
    <xf numFmtId="44" fontId="0" fillId="2" borderId="1" xfId="0" applyNumberFormat="1" applyFill="1" applyBorder="1" applyProtection="1">
      <protection locked="0"/>
    </xf>
    <xf numFmtId="0" fontId="0" fillId="2" borderId="19" xfId="0" applyFill="1" applyBorder="1" applyProtection="1">
      <protection locked="0"/>
    </xf>
    <xf numFmtId="0" fontId="11" fillId="2" borderId="1" xfId="0" applyFont="1" applyFill="1" applyBorder="1" applyProtection="1">
      <protection locked="0"/>
    </xf>
    <xf numFmtId="0" fontId="0" fillId="2" borderId="22" xfId="0" applyFill="1" applyBorder="1" applyProtection="1">
      <protection locked="0"/>
    </xf>
    <xf numFmtId="0" fontId="0" fillId="0" borderId="22" xfId="0" applyBorder="1" applyProtection="1">
      <protection locked="0"/>
    </xf>
    <xf numFmtId="9" fontId="0" fillId="2" borderId="28" xfId="0" applyNumberFormat="1" applyFill="1" applyBorder="1" applyProtection="1">
      <protection locked="0"/>
    </xf>
    <xf numFmtId="9" fontId="0" fillId="2" borderId="1" xfId="5" applyFont="1" applyFill="1" applyBorder="1" applyAlignment="1" applyProtection="1">
      <protection locked="0"/>
    </xf>
    <xf numFmtId="44" fontId="0" fillId="2" borderId="20" xfId="0" applyNumberFormat="1" applyFill="1" applyBorder="1" applyProtection="1">
      <protection locked="0"/>
    </xf>
    <xf numFmtId="0" fontId="0" fillId="2" borderId="1" xfId="0" applyFill="1" applyBorder="1" applyProtection="1">
      <protection locked="0"/>
    </xf>
    <xf numFmtId="9" fontId="2" fillId="2" borderId="4" xfId="0" applyNumberFormat="1" applyFont="1" applyFill="1" applyBorder="1" applyAlignment="1" applyProtection="1">
      <alignment horizontal="right"/>
      <protection locked="0"/>
    </xf>
    <xf numFmtId="0" fontId="0" fillId="2" borderId="24" xfId="0" applyFill="1" applyBorder="1" applyProtection="1">
      <protection locked="0"/>
    </xf>
    <xf numFmtId="44" fontId="0" fillId="6" borderId="1" xfId="0" applyNumberFormat="1" applyFill="1" applyBorder="1" applyProtection="1">
      <protection locked="0"/>
    </xf>
    <xf numFmtId="44" fontId="0" fillId="2" borderId="25" xfId="0" applyNumberFormat="1" applyFill="1" applyBorder="1" applyProtection="1">
      <protection locked="0"/>
    </xf>
    <xf numFmtId="9" fontId="2" fillId="2" borderId="7" xfId="0" applyNumberFormat="1" applyFont="1" applyFill="1" applyBorder="1" applyAlignment="1" applyProtection="1">
      <alignment horizontal="right"/>
      <protection locked="0"/>
    </xf>
    <xf numFmtId="0" fontId="2" fillId="3" borderId="8" xfId="0" applyFont="1" applyFill="1" applyBorder="1" applyAlignment="1">
      <alignment vertical="center"/>
    </xf>
    <xf numFmtId="0" fontId="5" fillId="3" borderId="34" xfId="0" applyFont="1" applyFill="1" applyBorder="1" applyAlignment="1">
      <alignment vertical="center"/>
    </xf>
    <xf numFmtId="0" fontId="11" fillId="0" borderId="4" xfId="0" applyFont="1" applyBorder="1" applyProtection="1">
      <protection locked="0"/>
    </xf>
    <xf numFmtId="0" fontId="11" fillId="0" borderId="44" xfId="0" applyFont="1" applyBorder="1" applyProtection="1">
      <protection locked="0"/>
    </xf>
    <xf numFmtId="0" fontId="11" fillId="0" borderId="16" xfId="0" applyFont="1" applyBorder="1" applyProtection="1">
      <protection locked="0"/>
    </xf>
    <xf numFmtId="0" fontId="11" fillId="0" borderId="36" xfId="0" applyFont="1" applyBorder="1" applyProtection="1">
      <protection locked="0"/>
    </xf>
    <xf numFmtId="0" fontId="7" fillId="3" borderId="68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1" fillId="2" borderId="20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166" fontId="2" fillId="2" borderId="7" xfId="0" applyNumberFormat="1" applyFont="1" applyFill="1" applyBorder="1" applyAlignment="1" applyProtection="1">
      <alignment horizontal="right"/>
      <protection locked="0"/>
    </xf>
    <xf numFmtId="0" fontId="1" fillId="0" borderId="1" xfId="0" applyFont="1" applyBorder="1" applyProtection="1">
      <protection locked="0"/>
    </xf>
    <xf numFmtId="44" fontId="0" fillId="0" borderId="1" xfId="0" applyNumberFormat="1" applyBorder="1" applyProtection="1">
      <protection locked="0"/>
    </xf>
    <xf numFmtId="2" fontId="1" fillId="2" borderId="38" xfId="0" applyNumberFormat="1" applyFont="1" applyFill="1" applyBorder="1"/>
    <xf numFmtId="0" fontId="0" fillId="0" borderId="1" xfId="0" applyBorder="1" applyProtection="1">
      <protection locked="0"/>
    </xf>
    <xf numFmtId="0" fontId="11" fillId="0" borderId="34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48" xfId="0" applyFont="1" applyBorder="1" applyAlignment="1">
      <alignment horizontal="left"/>
    </xf>
    <xf numFmtId="0" fontId="11" fillId="0" borderId="50" xfId="0" applyFont="1" applyBorder="1" applyAlignment="1">
      <alignment horizontal="left"/>
    </xf>
    <xf numFmtId="0" fontId="11" fillId="0" borderId="33" xfId="0" applyFont="1" applyBorder="1" applyAlignment="1" applyProtection="1">
      <alignment horizontal="left"/>
      <protection locked="0"/>
    </xf>
    <xf numFmtId="0" fontId="11" fillId="0" borderId="7" xfId="0" applyFont="1" applyBorder="1" applyAlignment="1" applyProtection="1">
      <alignment horizontal="left"/>
      <protection locked="0"/>
    </xf>
    <xf numFmtId="0" fontId="7" fillId="0" borderId="33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11" fillId="0" borderId="34" xfId="0" applyFont="1" applyBorder="1" applyAlignment="1" applyProtection="1">
      <alignment horizontal="left"/>
      <protection locked="0"/>
    </xf>
    <xf numFmtId="0" fontId="7" fillId="0" borderId="3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48" xfId="0" applyFont="1" applyBorder="1" applyAlignment="1" applyProtection="1">
      <alignment horizontal="center"/>
      <protection locked="0"/>
    </xf>
    <xf numFmtId="0" fontId="7" fillId="0" borderId="50" xfId="0" applyFont="1" applyBorder="1" applyAlignment="1" applyProtection="1">
      <alignment horizontal="center"/>
      <protection locked="0"/>
    </xf>
    <xf numFmtId="0" fontId="17" fillId="8" borderId="55" xfId="0" applyFont="1" applyFill="1" applyBorder="1" applyAlignment="1">
      <alignment horizontal="center"/>
    </xf>
    <xf numFmtId="0" fontId="17" fillId="8" borderId="58" xfId="0" applyFont="1" applyFill="1" applyBorder="1" applyAlignment="1">
      <alignment horizontal="center"/>
    </xf>
    <xf numFmtId="0" fontId="17" fillId="8" borderId="56" xfId="0" applyFont="1" applyFill="1" applyBorder="1" applyAlignment="1">
      <alignment horizontal="center"/>
    </xf>
    <xf numFmtId="49" fontId="12" fillId="0" borderId="68" xfId="0" applyNumberFormat="1" applyFont="1" applyBorder="1" applyAlignment="1" applyProtection="1">
      <alignment horizontal="center" vertical="center"/>
      <protection locked="0"/>
    </xf>
    <xf numFmtId="49" fontId="12" fillId="0" borderId="53" xfId="0" applyNumberFormat="1" applyFont="1" applyBorder="1" applyAlignment="1" applyProtection="1">
      <alignment horizontal="center" vertical="center"/>
      <protection locked="0"/>
    </xf>
    <xf numFmtId="49" fontId="12" fillId="0" borderId="45" xfId="0" applyNumberFormat="1" applyFont="1" applyBorder="1" applyAlignment="1" applyProtection="1">
      <alignment horizontal="center" vertical="center"/>
      <protection locked="0"/>
    </xf>
    <xf numFmtId="0" fontId="15" fillId="9" borderId="68" xfId="0" applyFont="1" applyFill="1" applyBorder="1" applyAlignment="1">
      <alignment horizontal="center"/>
    </xf>
    <xf numFmtId="0" fontId="15" fillId="9" borderId="53" xfId="0" applyFont="1" applyFill="1" applyBorder="1" applyAlignment="1">
      <alignment horizontal="center"/>
    </xf>
    <xf numFmtId="0" fontId="15" fillId="9" borderId="54" xfId="0" applyFont="1" applyFill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65" fontId="16" fillId="0" borderId="69" xfId="0" quotePrefix="1" applyNumberFormat="1" applyFont="1" applyBorder="1" applyAlignment="1" applyProtection="1">
      <alignment horizontal="center" vertical="center"/>
      <protection locked="0"/>
    </xf>
    <xf numFmtId="165" fontId="16" fillId="0" borderId="2" xfId="0" quotePrefix="1" applyNumberFormat="1" applyFont="1" applyBorder="1" applyAlignment="1" applyProtection="1">
      <alignment horizontal="center" vertical="center"/>
      <protection locked="0"/>
    </xf>
    <xf numFmtId="165" fontId="16" fillId="0" borderId="70" xfId="0" quotePrefix="1" applyNumberFormat="1" applyFont="1" applyBorder="1" applyAlignment="1" applyProtection="1">
      <alignment horizontal="center" vertical="center"/>
      <protection locked="0"/>
    </xf>
    <xf numFmtId="165" fontId="16" fillId="0" borderId="71" xfId="0" quotePrefix="1" applyNumberFormat="1" applyFont="1" applyBorder="1" applyAlignment="1" applyProtection="1">
      <alignment horizontal="center" vertical="center"/>
      <protection locked="0"/>
    </xf>
    <xf numFmtId="165" fontId="16" fillId="0" borderId="10" xfId="0" quotePrefix="1" applyNumberFormat="1" applyFont="1" applyBorder="1" applyAlignment="1" applyProtection="1">
      <alignment horizontal="center" vertical="center"/>
      <protection locked="0"/>
    </xf>
    <xf numFmtId="165" fontId="16" fillId="0" borderId="72" xfId="0" quotePrefix="1" applyNumberFormat="1" applyFont="1" applyBorder="1" applyAlignment="1" applyProtection="1">
      <alignment horizontal="center" vertical="center"/>
      <protection locked="0"/>
    </xf>
    <xf numFmtId="165" fontId="7" fillId="0" borderId="0" xfId="0" quotePrefix="1" applyNumberFormat="1" applyFont="1" applyAlignment="1" applyProtection="1">
      <alignment horizontal="center" vertical="center"/>
      <protection locked="0"/>
    </xf>
    <xf numFmtId="165" fontId="7" fillId="0" borderId="42" xfId="0" quotePrefix="1" applyNumberFormat="1" applyFont="1" applyBorder="1" applyAlignment="1" applyProtection="1">
      <alignment horizontal="center" vertical="center"/>
      <protection locked="0"/>
    </xf>
    <xf numFmtId="165" fontId="7" fillId="0" borderId="10" xfId="0" quotePrefix="1" applyNumberFormat="1" applyFont="1" applyBorder="1" applyAlignment="1" applyProtection="1">
      <alignment horizontal="center" vertical="center"/>
      <protection locked="0"/>
    </xf>
    <xf numFmtId="165" fontId="7" fillId="0" borderId="37" xfId="0" quotePrefix="1" applyNumberFormat="1" applyFont="1" applyBorder="1" applyAlignment="1" applyProtection="1">
      <alignment horizontal="center" vertical="center"/>
      <protection locked="0"/>
    </xf>
    <xf numFmtId="0" fontId="7" fillId="0" borderId="4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4" xfId="0" applyFont="1" applyBorder="1" applyAlignment="1">
      <alignment horizontal="left"/>
    </xf>
    <xf numFmtId="0" fontId="11" fillId="9" borderId="34" xfId="0" applyFont="1" applyFill="1" applyBorder="1" applyAlignment="1">
      <alignment horizontal="center"/>
    </xf>
    <xf numFmtId="0" fontId="11" fillId="9" borderId="33" xfId="0" applyFont="1" applyFill="1" applyBorder="1" applyAlignment="1">
      <alignment horizontal="center"/>
    </xf>
    <xf numFmtId="0" fontId="11" fillId="9" borderId="64" xfId="0" applyFont="1" applyFill="1" applyBorder="1" applyAlignment="1">
      <alignment horizontal="center"/>
    </xf>
    <xf numFmtId="0" fontId="11" fillId="9" borderId="12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9" borderId="43" xfId="0" applyFont="1" applyFill="1" applyBorder="1" applyAlignment="1">
      <alignment horizontal="center"/>
    </xf>
    <xf numFmtId="0" fontId="11" fillId="9" borderId="13" xfId="0" applyFont="1" applyFill="1" applyBorder="1" applyAlignment="1">
      <alignment horizontal="center"/>
    </xf>
    <xf numFmtId="0" fontId="11" fillId="9" borderId="5" xfId="0" applyFont="1" applyFill="1" applyBorder="1" applyAlignment="1">
      <alignment horizontal="center"/>
    </xf>
    <xf numFmtId="0" fontId="11" fillId="9" borderId="65" xfId="0" applyFont="1" applyFill="1" applyBorder="1" applyAlignment="1">
      <alignment horizontal="center"/>
    </xf>
    <xf numFmtId="44" fontId="12" fillId="0" borderId="60" xfId="0" applyNumberFormat="1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4" fontId="11" fillId="0" borderId="66" xfId="0" applyNumberFormat="1" applyFont="1" applyBorder="1" applyAlignment="1">
      <alignment horizontal="center"/>
    </xf>
    <xf numFmtId="4" fontId="11" fillId="0" borderId="67" xfId="0" applyNumberFormat="1" applyFont="1" applyBorder="1" applyAlignment="1">
      <alignment horizontal="center"/>
    </xf>
    <xf numFmtId="4" fontId="11" fillId="0" borderId="5" xfId="0" applyNumberFormat="1" applyFont="1" applyBorder="1" applyAlignment="1">
      <alignment horizontal="center"/>
    </xf>
    <xf numFmtId="4" fontId="11" fillId="0" borderId="65" xfId="0" applyNumberFormat="1" applyFont="1" applyBorder="1" applyAlignment="1">
      <alignment horizontal="center"/>
    </xf>
    <xf numFmtId="0" fontId="2" fillId="2" borderId="48" xfId="0" applyFont="1" applyFill="1" applyBorder="1" applyAlignment="1">
      <alignment horizontal="right"/>
    </xf>
    <xf numFmtId="0" fontId="0" fillId="2" borderId="49" xfId="0" applyFill="1" applyBorder="1"/>
    <xf numFmtId="0" fontId="0" fillId="2" borderId="50" xfId="0" applyFill="1" applyBorder="1"/>
    <xf numFmtId="0" fontId="4" fillId="2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51" xfId="0" applyFill="1" applyBorder="1" applyProtection="1">
      <protection locked="0"/>
    </xf>
    <xf numFmtId="0" fontId="11" fillId="2" borderId="51" xfId="0" applyFont="1" applyFill="1" applyBorder="1" applyProtection="1">
      <protection locked="0"/>
    </xf>
    <xf numFmtId="0" fontId="5" fillId="2" borderId="52" xfId="0" applyFont="1" applyFill="1" applyBorder="1" applyAlignment="1">
      <alignment vertical="center"/>
    </xf>
    <xf numFmtId="0" fontId="6" fillId="2" borderId="53" xfId="0" applyFont="1" applyFill="1" applyBorder="1" applyAlignment="1">
      <alignment vertical="center"/>
    </xf>
    <xf numFmtId="0" fontId="6" fillId="2" borderId="54" xfId="0" applyFont="1" applyFill="1" applyBorder="1" applyAlignment="1">
      <alignment vertical="center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2" fillId="2" borderId="55" xfId="0" applyFont="1" applyFill="1" applyBorder="1"/>
    <xf numFmtId="0" fontId="2" fillId="2" borderId="56" xfId="0" applyFont="1" applyFill="1" applyBorder="1"/>
    <xf numFmtId="0" fontId="5" fillId="2" borderId="40" xfId="0" applyFont="1" applyFill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0" fillId="0" borderId="41" xfId="0" applyBorder="1"/>
    <xf numFmtId="0" fontId="0" fillId="0" borderId="57" xfId="0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3" xfId="0" applyFill="1" applyBorder="1"/>
    <xf numFmtId="0" fontId="1" fillId="2" borderId="0" xfId="0" applyFont="1" applyFill="1" applyAlignment="1" applyProtection="1">
      <alignment horizontal="left"/>
      <protection locked="0"/>
    </xf>
  </cellXfs>
  <cellStyles count="11">
    <cellStyle name="Comma 2" xfId="1" xr:uid="{00000000-0005-0000-0000-000000000000}"/>
    <cellStyle name="Comma 3" xfId="7" xr:uid="{00000000-0005-0000-0000-000001000000}"/>
    <cellStyle name="Currency" xfId="2" builtinId="4"/>
    <cellStyle name="Currency 2" xfId="3" xr:uid="{00000000-0005-0000-0000-000003000000}"/>
    <cellStyle name="Currency 3 2" xfId="8" xr:uid="{00000000-0005-0000-0000-000004000000}"/>
    <cellStyle name="Normal" xfId="0" builtinId="0"/>
    <cellStyle name="Normal 2" xfId="4" xr:uid="{00000000-0005-0000-0000-000006000000}"/>
    <cellStyle name="Normal 3" xfId="9" xr:uid="{00000000-0005-0000-0000-000007000000}"/>
    <cellStyle name="Percent" xfId="5" builtinId="5"/>
    <cellStyle name="Percent 2" xfId="6" xr:uid="{00000000-0005-0000-0000-000009000000}"/>
    <cellStyle name="Percent 3" xfId="10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57065</xdr:colOff>
      <xdr:row>0</xdr:row>
      <xdr:rowOff>38101</xdr:rowOff>
    </xdr:from>
    <xdr:to>
      <xdr:col>1</xdr:col>
      <xdr:colOff>685800</xdr:colOff>
      <xdr:row>3</xdr:row>
      <xdr:rowOff>160221</xdr:rowOff>
    </xdr:to>
    <xdr:pic>
      <xdr:nvPicPr>
        <xdr:cNvPr id="1272" name="Picture 3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7065" y="38101"/>
          <a:ext cx="1381210" cy="750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1</xdr:row>
      <xdr:rowOff>9526</xdr:rowOff>
    </xdr:from>
    <xdr:to>
      <xdr:col>1</xdr:col>
      <xdr:colOff>465131</xdr:colOff>
      <xdr:row>1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76201"/>
          <a:ext cx="455607" cy="247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view="pageBreakPreview" topLeftCell="A57" zoomScaleSheetLayoutView="100" workbookViewId="0">
      <selection activeCell="E81" sqref="E81"/>
    </sheetView>
  </sheetViews>
  <sheetFormatPr defaultRowHeight="12.75" x14ac:dyDescent="0.2"/>
  <cols>
    <col min="1" max="1" width="11.28515625" style="1" bestFit="1" customWidth="1"/>
    <col min="2" max="2" width="12.7109375" style="1" customWidth="1"/>
    <col min="3" max="3" width="47.140625" style="1" customWidth="1"/>
    <col min="4" max="4" width="12.7109375" style="1" customWidth="1"/>
    <col min="5" max="5" width="13.7109375" style="1" customWidth="1"/>
    <col min="6" max="6" width="10.140625" style="1" customWidth="1"/>
    <col min="7" max="7" width="7.85546875" style="1" customWidth="1"/>
    <col min="8" max="16384" width="9.140625" style="1"/>
  </cols>
  <sheetData>
    <row r="1" spans="1:7" ht="16.5" customHeight="1" x14ac:dyDescent="0.2">
      <c r="A1" s="206"/>
      <c r="B1" s="206"/>
      <c r="C1" s="20" t="s">
        <v>15</v>
      </c>
      <c r="D1" s="224" t="s">
        <v>152</v>
      </c>
      <c r="E1" s="224"/>
      <c r="F1" s="224"/>
    </row>
    <row r="2" spans="1:7" ht="20.25" customHeight="1" x14ac:dyDescent="0.2">
      <c r="A2" s="206"/>
      <c r="B2" s="206"/>
      <c r="C2" s="20" t="s">
        <v>16</v>
      </c>
      <c r="D2" s="208" t="s">
        <v>150</v>
      </c>
      <c r="E2" s="209"/>
    </row>
    <row r="3" spans="1:7" x14ac:dyDescent="0.2">
      <c r="A3" s="206"/>
      <c r="B3" s="206"/>
      <c r="C3" s="213" t="s">
        <v>160</v>
      </c>
      <c r="D3" s="213"/>
      <c r="E3" s="213"/>
      <c r="F3" s="213"/>
      <c r="G3" s="213"/>
    </row>
    <row r="4" spans="1:7" ht="13.5" thickBot="1" x14ac:dyDescent="0.25">
      <c r="A4" s="207"/>
      <c r="B4" s="207"/>
      <c r="C4" s="213"/>
      <c r="D4" s="213"/>
      <c r="E4" s="213"/>
      <c r="F4" s="213"/>
      <c r="G4" s="213"/>
    </row>
    <row r="5" spans="1:7" s="37" customFormat="1" ht="20.25" customHeight="1" thickBot="1" x14ac:dyDescent="0.25">
      <c r="A5" s="30" t="s">
        <v>0</v>
      </c>
      <c r="B5" s="31" t="s">
        <v>1</v>
      </c>
      <c r="C5" s="139" t="s">
        <v>2</v>
      </c>
      <c r="D5" s="140" t="s">
        <v>3</v>
      </c>
      <c r="E5" s="141" t="s">
        <v>4</v>
      </c>
    </row>
    <row r="6" spans="1:7" ht="23.25" customHeight="1" thickBot="1" x14ac:dyDescent="0.25">
      <c r="A6" s="120"/>
      <c r="B6" s="144"/>
      <c r="C6" s="144"/>
      <c r="D6" s="119"/>
      <c r="E6" s="23">
        <f t="shared" ref="E6:E37" si="0">A6*D6</f>
        <v>0</v>
      </c>
      <c r="F6" s="118">
        <v>31.8</v>
      </c>
      <c r="G6" s="76" t="s">
        <v>5</v>
      </c>
    </row>
    <row r="7" spans="1:7" ht="23.25" customHeight="1" x14ac:dyDescent="0.2">
      <c r="A7" s="122">
        <v>100</v>
      </c>
      <c r="B7" s="145" t="s">
        <v>47</v>
      </c>
      <c r="C7" s="145" t="s">
        <v>153</v>
      </c>
      <c r="D7" s="119">
        <v>36.5</v>
      </c>
      <c r="E7" s="25">
        <f t="shared" si="0"/>
        <v>3650</v>
      </c>
    </row>
    <row r="8" spans="1:7" ht="23.25" customHeight="1" x14ac:dyDescent="0.2">
      <c r="A8" s="122">
        <v>11</v>
      </c>
      <c r="B8" s="144" t="s">
        <v>154</v>
      </c>
      <c r="C8" s="144" t="s">
        <v>155</v>
      </c>
      <c r="D8" s="119">
        <v>880</v>
      </c>
      <c r="E8" s="25">
        <f t="shared" si="0"/>
        <v>9680</v>
      </c>
    </row>
    <row r="9" spans="1:7" ht="23.25" customHeight="1" x14ac:dyDescent="0.2">
      <c r="A9" s="122"/>
      <c r="B9" s="145"/>
      <c r="C9" s="145"/>
      <c r="D9" s="119"/>
      <c r="E9" s="25">
        <f t="shared" si="0"/>
        <v>0</v>
      </c>
    </row>
    <row r="10" spans="1:7" ht="23.25" customHeight="1" x14ac:dyDescent="0.2">
      <c r="A10" s="122">
        <v>34</v>
      </c>
      <c r="B10" s="145" t="s">
        <v>31</v>
      </c>
      <c r="C10" s="145" t="s">
        <v>159</v>
      </c>
      <c r="D10" s="119">
        <v>538</v>
      </c>
      <c r="E10" s="25">
        <f t="shared" si="0"/>
        <v>18292</v>
      </c>
    </row>
    <row r="11" spans="1:7" ht="23.25" customHeight="1" x14ac:dyDescent="0.2">
      <c r="A11" s="122">
        <v>1</v>
      </c>
      <c r="B11" s="145" t="s">
        <v>133</v>
      </c>
      <c r="C11" s="145" t="s">
        <v>157</v>
      </c>
      <c r="D11" s="119">
        <v>939</v>
      </c>
      <c r="E11" s="25">
        <f t="shared" si="0"/>
        <v>939</v>
      </c>
    </row>
    <row r="12" spans="1:7" ht="23.25" customHeight="1" x14ac:dyDescent="0.2">
      <c r="A12" s="122">
        <v>5</v>
      </c>
      <c r="B12" s="145" t="s">
        <v>31</v>
      </c>
      <c r="C12" s="145" t="s">
        <v>156</v>
      </c>
      <c r="D12" s="119">
        <v>515</v>
      </c>
      <c r="E12" s="25">
        <f t="shared" si="0"/>
        <v>2575</v>
      </c>
    </row>
    <row r="13" spans="1:7" ht="23.25" customHeight="1" x14ac:dyDescent="0.2">
      <c r="A13" s="122">
        <v>7</v>
      </c>
      <c r="B13" s="144"/>
      <c r="C13" s="147"/>
      <c r="D13" s="119"/>
      <c r="E13" s="25">
        <f t="shared" si="0"/>
        <v>0</v>
      </c>
    </row>
    <row r="14" spans="1:7" ht="23.25" customHeight="1" x14ac:dyDescent="0.2">
      <c r="A14" s="122">
        <v>44</v>
      </c>
      <c r="B14" s="145" t="s">
        <v>31</v>
      </c>
      <c r="C14" s="145" t="s">
        <v>158</v>
      </c>
      <c r="D14" s="119">
        <v>599</v>
      </c>
      <c r="E14" s="25">
        <f t="shared" si="0"/>
        <v>26356</v>
      </c>
    </row>
    <row r="15" spans="1:7" ht="23.25" customHeight="1" x14ac:dyDescent="0.2">
      <c r="A15" s="122">
        <v>6</v>
      </c>
      <c r="B15" s="144" t="s">
        <v>31</v>
      </c>
      <c r="C15" s="144" t="s">
        <v>145</v>
      </c>
      <c r="D15" s="119">
        <v>599</v>
      </c>
      <c r="E15" s="25">
        <f t="shared" si="0"/>
        <v>3594</v>
      </c>
    </row>
    <row r="16" spans="1:7" ht="23.25" customHeight="1" x14ac:dyDescent="0.2">
      <c r="A16" s="122"/>
      <c r="B16" s="144"/>
      <c r="C16" s="144"/>
      <c r="D16" s="119"/>
      <c r="E16" s="25">
        <f t="shared" si="0"/>
        <v>0</v>
      </c>
    </row>
    <row r="17" spans="1:6" ht="23.25" customHeight="1" x14ac:dyDescent="0.2">
      <c r="A17" s="122">
        <v>11</v>
      </c>
      <c r="B17" s="144" t="s">
        <v>31</v>
      </c>
      <c r="C17" s="144" t="s">
        <v>164</v>
      </c>
      <c r="D17" s="119">
        <v>226.5</v>
      </c>
      <c r="E17" s="25">
        <f t="shared" si="0"/>
        <v>2491.5</v>
      </c>
    </row>
    <row r="18" spans="1:6" ht="23.25" customHeight="1" x14ac:dyDescent="0.2">
      <c r="A18" s="122"/>
      <c r="B18" s="144"/>
      <c r="C18" s="144"/>
      <c r="D18" s="119"/>
      <c r="E18" s="25">
        <f t="shared" si="0"/>
        <v>0</v>
      </c>
    </row>
    <row r="19" spans="1:6" ht="23.25" customHeight="1" x14ac:dyDescent="0.2">
      <c r="A19" s="122">
        <v>285</v>
      </c>
      <c r="B19" s="144" t="s">
        <v>137</v>
      </c>
      <c r="C19" s="144" t="s">
        <v>138</v>
      </c>
      <c r="D19" s="119">
        <v>2.5</v>
      </c>
      <c r="E19" s="25">
        <f t="shared" si="0"/>
        <v>712.5</v>
      </c>
    </row>
    <row r="20" spans="1:6" ht="23.25" customHeight="1" x14ac:dyDescent="0.2">
      <c r="A20" s="122">
        <v>29</v>
      </c>
      <c r="B20" s="144" t="s">
        <v>167</v>
      </c>
      <c r="C20" s="144" t="s">
        <v>168</v>
      </c>
      <c r="D20" s="119">
        <v>12.5</v>
      </c>
      <c r="E20" s="25">
        <f t="shared" si="0"/>
        <v>362.5</v>
      </c>
    </row>
    <row r="21" spans="1:6" ht="23.25" customHeight="1" x14ac:dyDescent="0.2">
      <c r="A21" s="122">
        <v>24</v>
      </c>
      <c r="B21" s="144" t="s">
        <v>31</v>
      </c>
      <c r="C21" s="144" t="s">
        <v>169</v>
      </c>
      <c r="D21" s="119">
        <v>28</v>
      </c>
      <c r="E21" s="25">
        <f t="shared" si="0"/>
        <v>672</v>
      </c>
    </row>
    <row r="22" spans="1:6" ht="23.25" customHeight="1" x14ac:dyDescent="0.2">
      <c r="A22" s="122"/>
      <c r="B22" s="144"/>
      <c r="C22" s="144"/>
      <c r="D22" s="119"/>
      <c r="E22" s="25">
        <f t="shared" si="0"/>
        <v>0</v>
      </c>
    </row>
    <row r="23" spans="1:6" ht="23.25" customHeight="1" x14ac:dyDescent="0.2">
      <c r="A23" s="122"/>
      <c r="B23" s="144"/>
      <c r="C23" s="147"/>
      <c r="D23" s="119"/>
      <c r="E23" s="25">
        <f t="shared" si="0"/>
        <v>0</v>
      </c>
    </row>
    <row r="24" spans="1:6" ht="23.25" customHeight="1" x14ac:dyDescent="0.2">
      <c r="A24" s="123"/>
      <c r="B24" s="144"/>
      <c r="C24" s="144"/>
      <c r="D24" s="148"/>
      <c r="E24" s="25">
        <f t="shared" si="0"/>
        <v>0</v>
      </c>
    </row>
    <row r="25" spans="1:6" ht="23.25" customHeight="1" x14ac:dyDescent="0.2">
      <c r="A25" s="122"/>
      <c r="B25" s="144"/>
      <c r="C25" s="144"/>
      <c r="D25" s="119"/>
      <c r="E25" s="25">
        <f t="shared" si="0"/>
        <v>0</v>
      </c>
    </row>
    <row r="26" spans="1:6" ht="23.25" customHeight="1" x14ac:dyDescent="0.2">
      <c r="A26" s="122">
        <v>1</v>
      </c>
      <c r="B26" s="144" t="s">
        <v>165</v>
      </c>
      <c r="C26" s="144" t="s">
        <v>166</v>
      </c>
      <c r="D26" s="119">
        <v>508</v>
      </c>
      <c r="E26" s="25">
        <f t="shared" si="0"/>
        <v>508</v>
      </c>
    </row>
    <row r="27" spans="1:6" ht="23.25" customHeight="1" x14ac:dyDescent="0.2">
      <c r="A27" s="122"/>
      <c r="B27" s="144" t="s">
        <v>139</v>
      </c>
      <c r="C27" s="144" t="s">
        <v>140</v>
      </c>
      <c r="D27" s="119">
        <v>790</v>
      </c>
      <c r="E27" s="25">
        <f t="shared" si="0"/>
        <v>0</v>
      </c>
    </row>
    <row r="28" spans="1:6" ht="23.25" customHeight="1" x14ac:dyDescent="0.2">
      <c r="A28" s="122"/>
      <c r="B28" s="144" t="s">
        <v>134</v>
      </c>
      <c r="C28" s="144" t="s">
        <v>135</v>
      </c>
      <c r="D28" s="119">
        <v>550</v>
      </c>
      <c r="E28" s="25">
        <f t="shared" si="0"/>
        <v>0</v>
      </c>
    </row>
    <row r="29" spans="1:6" ht="23.25" customHeight="1" x14ac:dyDescent="0.2">
      <c r="A29" s="122">
        <v>3</v>
      </c>
      <c r="B29" s="144" t="s">
        <v>133</v>
      </c>
      <c r="C29" s="144" t="s">
        <v>143</v>
      </c>
      <c r="D29" s="119">
        <v>542</v>
      </c>
      <c r="E29" s="25">
        <f t="shared" si="0"/>
        <v>1626</v>
      </c>
    </row>
    <row r="30" spans="1:6" ht="23.25" customHeight="1" x14ac:dyDescent="0.2">
      <c r="A30" s="122">
        <v>1</v>
      </c>
      <c r="B30" s="144" t="s">
        <v>31</v>
      </c>
      <c r="C30" s="144" t="s">
        <v>144</v>
      </c>
      <c r="D30" s="119">
        <v>105</v>
      </c>
      <c r="E30" s="25">
        <f t="shared" si="0"/>
        <v>105</v>
      </c>
      <c r="F30" s="44"/>
    </row>
    <row r="31" spans="1:6" ht="23.25" customHeight="1" x14ac:dyDescent="0.2">
      <c r="A31" s="122"/>
      <c r="B31" s="144"/>
      <c r="C31" s="144"/>
      <c r="D31" s="119"/>
      <c r="E31" s="25">
        <f t="shared" si="0"/>
        <v>0</v>
      </c>
    </row>
    <row r="32" spans="1:6" ht="23.25" customHeight="1" x14ac:dyDescent="0.2">
      <c r="A32" s="122"/>
      <c r="B32" s="144"/>
      <c r="C32" s="144"/>
      <c r="D32" s="119"/>
      <c r="E32" s="25">
        <f t="shared" si="0"/>
        <v>0</v>
      </c>
    </row>
    <row r="33" spans="1:7" ht="23.25" customHeight="1" x14ac:dyDescent="0.2">
      <c r="A33" s="122"/>
      <c r="B33" s="144"/>
      <c r="C33" s="144"/>
      <c r="D33" s="119"/>
      <c r="E33" s="25">
        <f t="shared" si="0"/>
        <v>0</v>
      </c>
    </row>
    <row r="34" spans="1:7" ht="23.25" customHeight="1" x14ac:dyDescent="0.2">
      <c r="A34" s="122">
        <v>10</v>
      </c>
      <c r="B34" s="41" t="s">
        <v>47</v>
      </c>
      <c r="C34" s="41" t="s">
        <v>90</v>
      </c>
      <c r="D34" s="119">
        <v>75</v>
      </c>
      <c r="E34" s="25">
        <f t="shared" si="0"/>
        <v>750</v>
      </c>
    </row>
    <row r="35" spans="1:7" ht="23.25" customHeight="1" x14ac:dyDescent="0.2">
      <c r="A35" s="122"/>
      <c r="B35" s="41" t="s">
        <v>47</v>
      </c>
      <c r="C35" s="41" t="s">
        <v>88</v>
      </c>
      <c r="D35" s="119">
        <v>50</v>
      </c>
      <c r="E35" s="25">
        <f t="shared" si="0"/>
        <v>0</v>
      </c>
    </row>
    <row r="36" spans="1:7" ht="23.25" customHeight="1" x14ac:dyDescent="0.2">
      <c r="A36" s="122">
        <v>1</v>
      </c>
      <c r="B36" s="41" t="s">
        <v>30</v>
      </c>
      <c r="C36" s="41" t="s">
        <v>81</v>
      </c>
      <c r="D36" s="119">
        <v>1150</v>
      </c>
      <c r="E36" s="25">
        <f t="shared" si="0"/>
        <v>1150</v>
      </c>
    </row>
    <row r="37" spans="1:7" ht="23.25" customHeight="1" x14ac:dyDescent="0.2">
      <c r="A37" s="79">
        <f>F6</f>
        <v>31.8</v>
      </c>
      <c r="B37" s="41" t="s">
        <v>5</v>
      </c>
      <c r="C37" s="41" t="s">
        <v>28</v>
      </c>
      <c r="D37" s="119">
        <v>30</v>
      </c>
      <c r="E37" s="25">
        <f t="shared" si="0"/>
        <v>954</v>
      </c>
    </row>
    <row r="38" spans="1:7" ht="13.5" thickBot="1" x14ac:dyDescent="0.25">
      <c r="A38" s="39"/>
      <c r="B38" s="38"/>
      <c r="C38" s="38"/>
      <c r="D38" s="40"/>
      <c r="E38" s="6">
        <f>SUM(E6:E37)</f>
        <v>74417.5</v>
      </c>
    </row>
    <row r="39" spans="1:7" x14ac:dyDescent="0.2">
      <c r="A39" s="9"/>
      <c r="D39" s="19" t="s">
        <v>5</v>
      </c>
      <c r="E39" s="47" t="s">
        <v>27</v>
      </c>
      <c r="F39" s="56" t="s">
        <v>35</v>
      </c>
    </row>
    <row r="40" spans="1:7" ht="13.5" thickBot="1" x14ac:dyDescent="0.25">
      <c r="A40" s="7"/>
      <c r="B40" s="8"/>
      <c r="C40" s="8"/>
      <c r="D40" s="54">
        <f>F6</f>
        <v>31.8</v>
      </c>
      <c r="E40" s="53">
        <f>E38/D40/100</f>
        <v>23.401729559748428</v>
      </c>
      <c r="F40" s="57">
        <f>D40/10.76389*100</f>
        <v>295.43222756828618</v>
      </c>
    </row>
    <row r="41" spans="1:7" ht="13.5" thickBot="1" x14ac:dyDescent="0.25"/>
    <row r="42" spans="1:7" ht="20.25" customHeight="1" thickBot="1" x14ac:dyDescent="0.25">
      <c r="A42" s="210" t="s">
        <v>6</v>
      </c>
      <c r="B42" s="211"/>
      <c r="C42" s="211"/>
      <c r="D42" s="211"/>
      <c r="E42" s="212"/>
    </row>
    <row r="43" spans="1:7" ht="18.75" customHeight="1" thickBot="1" x14ac:dyDescent="0.3">
      <c r="A43" s="32" t="s">
        <v>0</v>
      </c>
      <c r="B43" s="33" t="s">
        <v>7</v>
      </c>
      <c r="C43" s="33" t="s">
        <v>8</v>
      </c>
      <c r="D43" s="33" t="s">
        <v>9</v>
      </c>
      <c r="E43" s="34" t="s">
        <v>4</v>
      </c>
      <c r="F43" s="214" t="s">
        <v>36</v>
      </c>
      <c r="G43" s="215"/>
    </row>
    <row r="44" spans="1:7" ht="20.25" customHeight="1" thickBot="1" x14ac:dyDescent="0.25">
      <c r="A44" s="120">
        <v>1</v>
      </c>
      <c r="B44" s="22" t="s">
        <v>26</v>
      </c>
      <c r="C44" s="142" t="s">
        <v>163</v>
      </c>
      <c r="D44" s="126">
        <v>2060</v>
      </c>
      <c r="E44" s="23">
        <f t="shared" ref="E44:E58" si="1">A44*D44</f>
        <v>2060</v>
      </c>
      <c r="F44" s="60" t="s">
        <v>38</v>
      </c>
      <c r="G44" s="59" t="s">
        <v>39</v>
      </c>
    </row>
    <row r="45" spans="1:7" ht="20.25" customHeight="1" thickBot="1" x14ac:dyDescent="0.25">
      <c r="A45" s="122">
        <v>2</v>
      </c>
      <c r="B45" s="24" t="s">
        <v>26</v>
      </c>
      <c r="C45" s="143" t="s">
        <v>172</v>
      </c>
      <c r="D45" s="119">
        <v>2060</v>
      </c>
      <c r="E45" s="25">
        <f t="shared" si="1"/>
        <v>4120</v>
      </c>
      <c r="F45" s="58">
        <f>E45/41.2/F40</f>
        <v>0.33848710691823902</v>
      </c>
      <c r="G45" s="50" t="s">
        <v>35</v>
      </c>
    </row>
    <row r="46" spans="1:7" ht="20.25" customHeight="1" thickBot="1" x14ac:dyDescent="0.25">
      <c r="A46" s="122">
        <v>0.75</v>
      </c>
      <c r="B46" s="127" t="s">
        <v>26</v>
      </c>
      <c r="C46" s="144" t="s">
        <v>146</v>
      </c>
      <c r="D46" s="119">
        <v>2060</v>
      </c>
      <c r="E46" s="25">
        <f t="shared" si="1"/>
        <v>1545</v>
      </c>
      <c r="F46" s="58">
        <f>E46/41.2/F40</f>
        <v>0.12693266509433962</v>
      </c>
      <c r="G46" s="50" t="s">
        <v>35</v>
      </c>
    </row>
    <row r="47" spans="1:7" ht="20.25" customHeight="1" thickBot="1" x14ac:dyDescent="0.25">
      <c r="A47" s="122">
        <v>0.5</v>
      </c>
      <c r="B47" s="127" t="s">
        <v>26</v>
      </c>
      <c r="C47" s="144" t="s">
        <v>149</v>
      </c>
      <c r="D47" s="119">
        <v>2060</v>
      </c>
      <c r="E47" s="25">
        <f t="shared" si="1"/>
        <v>1030</v>
      </c>
      <c r="F47" s="58">
        <f>E47/41.2/F40</f>
        <v>8.4621776729559756E-2</v>
      </c>
      <c r="G47" s="50" t="s">
        <v>35</v>
      </c>
    </row>
    <row r="48" spans="1:7" ht="20.25" customHeight="1" thickBot="1" x14ac:dyDescent="0.25">
      <c r="A48" s="122">
        <v>1.25</v>
      </c>
      <c r="B48" s="127" t="s">
        <v>26</v>
      </c>
      <c r="C48" s="144" t="s">
        <v>147</v>
      </c>
      <c r="D48" s="119">
        <v>2060</v>
      </c>
      <c r="E48" s="25">
        <f t="shared" si="1"/>
        <v>2575</v>
      </c>
      <c r="F48" s="58">
        <f>E48/41.2/(F40)</f>
        <v>0.21155444182389935</v>
      </c>
      <c r="G48" s="50" t="s">
        <v>35</v>
      </c>
    </row>
    <row r="49" spans="1:7" ht="20.25" customHeight="1" thickBot="1" x14ac:dyDescent="0.25">
      <c r="A49" s="122">
        <v>1.25</v>
      </c>
      <c r="B49" s="127" t="s">
        <v>26</v>
      </c>
      <c r="C49" s="144" t="s">
        <v>148</v>
      </c>
      <c r="D49" s="119">
        <v>2060</v>
      </c>
      <c r="E49" s="25">
        <f t="shared" si="1"/>
        <v>2575</v>
      </c>
      <c r="F49" s="58">
        <f>E49/41.2/F40</f>
        <v>0.21155444182389935</v>
      </c>
      <c r="G49" s="50" t="s">
        <v>35</v>
      </c>
    </row>
    <row r="50" spans="1:7" ht="20.25" customHeight="1" thickBot="1" x14ac:dyDescent="0.25">
      <c r="A50" s="122">
        <v>0.75</v>
      </c>
      <c r="B50" s="121" t="s">
        <v>26</v>
      </c>
      <c r="C50" s="127" t="s">
        <v>170</v>
      </c>
      <c r="D50" s="119">
        <v>2060</v>
      </c>
      <c r="E50" s="25">
        <f t="shared" si="1"/>
        <v>1545</v>
      </c>
      <c r="F50" s="58">
        <f>E50/41.2/F40</f>
        <v>0.12693266509433962</v>
      </c>
      <c r="G50" s="50" t="s">
        <v>35</v>
      </c>
    </row>
    <row r="51" spans="1:7" ht="20.25" customHeight="1" thickBot="1" x14ac:dyDescent="0.25">
      <c r="A51" s="122">
        <v>0.5</v>
      </c>
      <c r="B51" s="127" t="s">
        <v>26</v>
      </c>
      <c r="C51" s="144" t="s">
        <v>171</v>
      </c>
      <c r="D51" s="119">
        <v>2060</v>
      </c>
      <c r="E51" s="25">
        <f t="shared" si="1"/>
        <v>1030</v>
      </c>
      <c r="F51" s="58">
        <f>E51/41.2/F40</f>
        <v>8.4621776729559756E-2</v>
      </c>
      <c r="G51" s="50" t="s">
        <v>35</v>
      </c>
    </row>
    <row r="52" spans="1:7" ht="20.25" customHeight="1" thickBot="1" x14ac:dyDescent="0.25">
      <c r="A52" s="122">
        <v>8</v>
      </c>
      <c r="B52" s="127" t="s">
        <v>26</v>
      </c>
      <c r="C52" s="24" t="s">
        <v>34</v>
      </c>
      <c r="D52" s="119">
        <v>175</v>
      </c>
      <c r="E52" s="25">
        <f t="shared" si="1"/>
        <v>1400</v>
      </c>
      <c r="F52" s="58"/>
      <c r="G52" s="50"/>
    </row>
    <row r="53" spans="1:7" ht="20.25" customHeight="1" thickBot="1" x14ac:dyDescent="0.25">
      <c r="A53" s="122">
        <v>285</v>
      </c>
      <c r="B53" s="121" t="s">
        <v>24</v>
      </c>
      <c r="C53" s="41" t="s">
        <v>85</v>
      </c>
      <c r="D53" s="119">
        <v>3.25</v>
      </c>
      <c r="E53" s="25">
        <f t="shared" si="1"/>
        <v>926.25</v>
      </c>
      <c r="F53" s="58">
        <f>E53/41.2/(A53*0.305)</f>
        <v>0.2586344103135445</v>
      </c>
      <c r="G53" s="50" t="s">
        <v>37</v>
      </c>
    </row>
    <row r="54" spans="1:7" ht="20.25" customHeight="1" thickBot="1" x14ac:dyDescent="0.25">
      <c r="A54" s="122">
        <v>285</v>
      </c>
      <c r="B54" s="127" t="s">
        <v>24</v>
      </c>
      <c r="C54" s="41" t="s">
        <v>86</v>
      </c>
      <c r="D54" s="119">
        <v>4</v>
      </c>
      <c r="E54" s="25">
        <f t="shared" si="1"/>
        <v>1140</v>
      </c>
      <c r="F54" s="58">
        <f>E54/41.2/(A54*0.305)</f>
        <v>0.31831927423205475</v>
      </c>
      <c r="G54" s="50" t="s">
        <v>37</v>
      </c>
    </row>
    <row r="55" spans="1:7" ht="20.25" customHeight="1" thickBot="1" x14ac:dyDescent="0.25">
      <c r="A55" s="122">
        <v>285</v>
      </c>
      <c r="B55" s="121" t="s">
        <v>24</v>
      </c>
      <c r="C55" s="144" t="s">
        <v>173</v>
      </c>
      <c r="D55" s="119">
        <v>1.75</v>
      </c>
      <c r="E55" s="25">
        <f t="shared" si="1"/>
        <v>498.75</v>
      </c>
      <c r="F55" s="58">
        <f>E55/41.2/(A55*0.305)</f>
        <v>0.13926468247652396</v>
      </c>
      <c r="G55" s="50" t="s">
        <v>37</v>
      </c>
    </row>
    <row r="56" spans="1:7" ht="20.25" customHeight="1" thickBot="1" x14ac:dyDescent="0.25">
      <c r="A56" s="122">
        <v>8</v>
      </c>
      <c r="B56" s="24" t="s">
        <v>25</v>
      </c>
      <c r="C56" s="41" t="s">
        <v>89</v>
      </c>
      <c r="D56" s="119">
        <v>350</v>
      </c>
      <c r="E56" s="25">
        <f t="shared" si="1"/>
        <v>2800</v>
      </c>
      <c r="F56" s="58">
        <f>E56/41.2/(A56*100*0.092903)</f>
        <v>0.91441025920238972</v>
      </c>
      <c r="G56" s="50" t="s">
        <v>35</v>
      </c>
    </row>
    <row r="57" spans="1:7" ht="20.25" customHeight="1" thickBot="1" x14ac:dyDescent="0.25">
      <c r="A57" s="62"/>
      <c r="B57" s="24"/>
      <c r="C57" s="41" t="s">
        <v>91</v>
      </c>
      <c r="D57" s="125">
        <v>0.06</v>
      </c>
      <c r="E57" s="61">
        <f>SUM(E44:E56)*D57</f>
        <v>1394.7</v>
      </c>
      <c r="F57" s="149">
        <f>E57/41.2</f>
        <v>33.851941747572816</v>
      </c>
      <c r="G57" s="59" t="s">
        <v>42</v>
      </c>
    </row>
    <row r="58" spans="1:7" ht="20.25" customHeight="1" thickBot="1" x14ac:dyDescent="0.25">
      <c r="A58" s="122"/>
      <c r="B58" s="41" t="s">
        <v>40</v>
      </c>
      <c r="C58" s="143" t="s">
        <v>151</v>
      </c>
      <c r="D58" s="119">
        <v>496</v>
      </c>
      <c r="E58" s="25">
        <f t="shared" si="1"/>
        <v>0</v>
      </c>
      <c r="F58" s="214" t="s">
        <v>41</v>
      </c>
      <c r="G58" s="215"/>
    </row>
    <row r="59" spans="1:7" ht="20.25" customHeight="1" thickBot="1" x14ac:dyDescent="0.25">
      <c r="A59" s="27"/>
      <c r="B59" s="28"/>
      <c r="C59" s="42" t="s">
        <v>18</v>
      </c>
      <c r="D59" s="124">
        <v>0.1</v>
      </c>
      <c r="E59" s="29">
        <f>SUM(E44:E58)*D59</f>
        <v>2463.9700000000003</v>
      </c>
      <c r="F59" s="63"/>
      <c r="G59" s="63">
        <f>SUM(E44:E58)/41.2</f>
        <v>598.05097087378635</v>
      </c>
    </row>
    <row r="60" spans="1:7" ht="20.25" customHeight="1" thickBot="1" x14ac:dyDescent="0.25">
      <c r="A60" s="72" t="s">
        <v>82</v>
      </c>
      <c r="B60" s="74">
        <f>D40/(SUM(E45:E51,E55:E56)/2060)</f>
        <v>3.697100529100529</v>
      </c>
      <c r="C60" s="73"/>
      <c r="D60" s="13" t="s">
        <v>19</v>
      </c>
      <c r="E60" s="14">
        <f>SUM(E44:E59)</f>
        <v>27103.670000000002</v>
      </c>
    </row>
    <row r="61" spans="1:7" ht="20.25" customHeight="1" thickBot="1" x14ac:dyDescent="0.25">
      <c r="A61" s="222"/>
      <c r="B61" s="223"/>
      <c r="C61" s="43" t="s">
        <v>20</v>
      </c>
      <c r="D61" s="128">
        <v>0.25</v>
      </c>
      <c r="E61" s="15">
        <f>E60*D61</f>
        <v>6775.9175000000005</v>
      </c>
      <c r="F61" s="48" t="s">
        <v>33</v>
      </c>
    </row>
    <row r="62" spans="1:7" ht="20.25" customHeight="1" thickBot="1" x14ac:dyDescent="0.25">
      <c r="A62" s="220"/>
      <c r="B62" s="221"/>
      <c r="C62" s="221"/>
      <c r="D62" s="16" t="s">
        <v>4</v>
      </c>
      <c r="E62" s="17">
        <f>SUM(E60:E61)</f>
        <v>33879.587500000001</v>
      </c>
      <c r="F62" s="55">
        <f>E62/D40/100</f>
        <v>10.653958333333332</v>
      </c>
    </row>
    <row r="63" spans="1:7" ht="13.5" thickBot="1" x14ac:dyDescent="0.25">
      <c r="A63" s="46"/>
    </row>
    <row r="64" spans="1:7" ht="20.25" customHeight="1" x14ac:dyDescent="0.2">
      <c r="A64" s="216" t="s">
        <v>17</v>
      </c>
      <c r="B64" s="217"/>
      <c r="C64" s="217"/>
      <c r="D64" s="218"/>
      <c r="E64" s="219"/>
    </row>
    <row r="65" spans="1:5" ht="20.25" customHeight="1" x14ac:dyDescent="0.2">
      <c r="A65" s="134"/>
      <c r="B65" s="35"/>
      <c r="C65" s="35"/>
      <c r="D65" s="36" t="s">
        <v>9</v>
      </c>
      <c r="E65" s="133" t="s">
        <v>4</v>
      </c>
    </row>
    <row r="66" spans="1:5" ht="20.25" customHeight="1" x14ac:dyDescent="0.2">
      <c r="A66" s="21">
        <f>F6</f>
        <v>31.8</v>
      </c>
      <c r="B66" s="121" t="s">
        <v>5</v>
      </c>
      <c r="C66" s="144"/>
      <c r="D66" s="119"/>
      <c r="E66" s="23">
        <f t="shared" ref="E66:E79" si="2">A66*D66</f>
        <v>0</v>
      </c>
    </row>
    <row r="67" spans="1:5" ht="20.25" customHeight="1" x14ac:dyDescent="0.2">
      <c r="A67" s="122">
        <v>13</v>
      </c>
      <c r="B67" s="144" t="s">
        <v>21</v>
      </c>
      <c r="C67" s="143" t="s">
        <v>174</v>
      </c>
      <c r="D67" s="119">
        <v>150</v>
      </c>
      <c r="E67" s="25">
        <f t="shared" si="2"/>
        <v>1950</v>
      </c>
    </row>
    <row r="68" spans="1:5" ht="20.25" customHeight="1" x14ac:dyDescent="0.2">
      <c r="A68" s="122"/>
      <c r="B68" s="127" t="s">
        <v>83</v>
      </c>
      <c r="C68" s="41" t="s">
        <v>87</v>
      </c>
      <c r="D68" s="119">
        <v>110</v>
      </c>
      <c r="E68" s="25">
        <f t="shared" si="2"/>
        <v>0</v>
      </c>
    </row>
    <row r="69" spans="1:5" ht="20.25" customHeight="1" x14ac:dyDescent="0.2">
      <c r="A69" s="122">
        <v>6</v>
      </c>
      <c r="B69" s="121" t="s">
        <v>29</v>
      </c>
      <c r="C69" s="143" t="s">
        <v>142</v>
      </c>
      <c r="D69" s="119">
        <v>295</v>
      </c>
      <c r="E69" s="25">
        <f t="shared" si="2"/>
        <v>1770</v>
      </c>
    </row>
    <row r="70" spans="1:5" ht="20.25" customHeight="1" x14ac:dyDescent="0.2">
      <c r="A70" s="122">
        <v>2</v>
      </c>
      <c r="B70" s="127" t="s">
        <v>22</v>
      </c>
      <c r="C70" s="41" t="s">
        <v>43</v>
      </c>
      <c r="D70" s="119">
        <v>1150</v>
      </c>
      <c r="E70" s="25">
        <f t="shared" si="2"/>
        <v>2300</v>
      </c>
    </row>
    <row r="71" spans="1:5" ht="20.25" customHeight="1" x14ac:dyDescent="0.2">
      <c r="A71" s="122"/>
      <c r="B71" s="127" t="s">
        <v>23</v>
      </c>
      <c r="C71" s="127" t="s">
        <v>141</v>
      </c>
      <c r="D71" s="148"/>
      <c r="E71" s="25">
        <f t="shared" si="2"/>
        <v>0</v>
      </c>
    </row>
    <row r="72" spans="1:5" ht="20.25" customHeight="1" x14ac:dyDescent="0.2">
      <c r="A72" s="122">
        <v>1</v>
      </c>
      <c r="B72" s="121" t="s">
        <v>23</v>
      </c>
      <c r="C72" s="145" t="s">
        <v>162</v>
      </c>
      <c r="D72" s="130">
        <v>15000</v>
      </c>
      <c r="E72" s="25">
        <f t="shared" si="2"/>
        <v>15000</v>
      </c>
    </row>
    <row r="73" spans="1:5" ht="20.25" customHeight="1" x14ac:dyDescent="0.2">
      <c r="A73" s="123">
        <v>1</v>
      </c>
      <c r="B73" s="150" t="s">
        <v>23</v>
      </c>
      <c r="C73" s="147" t="s">
        <v>161</v>
      </c>
      <c r="D73" s="148">
        <v>5000</v>
      </c>
      <c r="E73" s="25">
        <f t="shared" si="2"/>
        <v>5000</v>
      </c>
    </row>
    <row r="74" spans="1:5" ht="20.25" customHeight="1" x14ac:dyDescent="0.2">
      <c r="A74" s="79">
        <f>F6</f>
        <v>31.8</v>
      </c>
      <c r="B74" s="127" t="s">
        <v>5</v>
      </c>
      <c r="C74" s="41" t="s">
        <v>46</v>
      </c>
      <c r="D74" s="119">
        <v>10</v>
      </c>
      <c r="E74" s="25">
        <f t="shared" si="2"/>
        <v>318</v>
      </c>
    </row>
    <row r="75" spans="1:5" ht="20.25" customHeight="1" x14ac:dyDescent="0.2">
      <c r="A75" s="79">
        <f>F6</f>
        <v>31.8</v>
      </c>
      <c r="B75" s="127" t="s">
        <v>5</v>
      </c>
      <c r="C75" s="41" t="s">
        <v>44</v>
      </c>
      <c r="D75" s="119">
        <v>10</v>
      </c>
      <c r="E75" s="25">
        <f t="shared" si="2"/>
        <v>318</v>
      </c>
    </row>
    <row r="76" spans="1:5" ht="20.25" customHeight="1" x14ac:dyDescent="0.2">
      <c r="A76" s="122">
        <v>6</v>
      </c>
      <c r="B76" s="121" t="s">
        <v>48</v>
      </c>
      <c r="C76" s="41" t="s">
        <v>45</v>
      </c>
      <c r="D76" s="119">
        <v>115</v>
      </c>
      <c r="E76" s="25">
        <f t="shared" si="2"/>
        <v>690</v>
      </c>
    </row>
    <row r="77" spans="1:5" ht="20.25" customHeight="1" x14ac:dyDescent="0.2">
      <c r="A77" s="122">
        <v>1</v>
      </c>
      <c r="B77" s="121" t="s">
        <v>129</v>
      </c>
      <c r="C77" s="24" t="s">
        <v>136</v>
      </c>
      <c r="D77" s="119">
        <v>950</v>
      </c>
      <c r="E77" s="25">
        <f t="shared" si="2"/>
        <v>950</v>
      </c>
    </row>
    <row r="78" spans="1:5" ht="20.25" customHeight="1" x14ac:dyDescent="0.2">
      <c r="A78" s="122"/>
      <c r="B78" s="144" t="s">
        <v>26</v>
      </c>
      <c r="C78" s="24"/>
      <c r="D78" s="148">
        <v>1200</v>
      </c>
      <c r="E78" s="25">
        <f t="shared" si="2"/>
        <v>0</v>
      </c>
    </row>
    <row r="79" spans="1:5" ht="20.25" customHeight="1" x14ac:dyDescent="0.2">
      <c r="A79" s="129"/>
      <c r="B79" s="109" t="s">
        <v>128</v>
      </c>
      <c r="C79" s="109" t="s">
        <v>118</v>
      </c>
      <c r="D79" s="131">
        <v>10</v>
      </c>
      <c r="E79" s="26">
        <f t="shared" si="2"/>
        <v>0</v>
      </c>
    </row>
    <row r="80" spans="1:5" ht="20.25" customHeight="1" thickBot="1" x14ac:dyDescent="0.25">
      <c r="A80" s="10"/>
      <c r="B80" s="2"/>
      <c r="C80" s="2"/>
      <c r="D80" s="45" t="s">
        <v>11</v>
      </c>
      <c r="E80" s="18">
        <f>SUM(E66:E79)</f>
        <v>28296</v>
      </c>
    </row>
    <row r="81" spans="1:6" ht="20.25" customHeight="1" thickBot="1" x14ac:dyDescent="0.25">
      <c r="A81" s="9"/>
      <c r="D81" s="45" t="s">
        <v>10</v>
      </c>
      <c r="E81" s="12">
        <f>E38+E62+E80</f>
        <v>136593.08749999999</v>
      </c>
      <c r="F81" s="49" t="s">
        <v>32</v>
      </c>
    </row>
    <row r="82" spans="1:6" ht="20.25" customHeight="1" thickBot="1" x14ac:dyDescent="0.25">
      <c r="A82" s="9"/>
      <c r="C82" s="3" t="s">
        <v>13</v>
      </c>
      <c r="D82" s="132">
        <v>1.38</v>
      </c>
      <c r="E82" s="12">
        <f>E62*D82</f>
        <v>46753.830750000001</v>
      </c>
      <c r="F82" s="51">
        <f>E82/E84</f>
        <v>0.25000196026249943</v>
      </c>
    </row>
    <row r="83" spans="1:6" ht="20.25" customHeight="1" thickBot="1" x14ac:dyDescent="0.25">
      <c r="A83" s="11"/>
      <c r="B83" s="4"/>
      <c r="C83" s="5" t="s">
        <v>14</v>
      </c>
      <c r="D83" s="146">
        <v>0.02</v>
      </c>
      <c r="E83" s="12">
        <f>(E81+E82)*D83</f>
        <v>3666.938365</v>
      </c>
      <c r="F83" s="52">
        <f>E84/D40/100</f>
        <v>58.809388872641513</v>
      </c>
    </row>
    <row r="84" spans="1:6" ht="20.25" customHeight="1" thickBot="1" x14ac:dyDescent="0.3">
      <c r="A84" s="203" t="s">
        <v>12</v>
      </c>
      <c r="B84" s="204"/>
      <c r="C84" s="204"/>
      <c r="D84" s="205"/>
      <c r="E84" s="75">
        <f>SUM(E81:E83)</f>
        <v>187013.856615</v>
      </c>
      <c r="F84" s="50" t="s">
        <v>33</v>
      </c>
    </row>
  </sheetData>
  <sheetProtection selectLockedCells="1"/>
  <mergeCells count="11">
    <mergeCell ref="A84:D84"/>
    <mergeCell ref="A1:B4"/>
    <mergeCell ref="D2:E2"/>
    <mergeCell ref="A42:E42"/>
    <mergeCell ref="C3:G4"/>
    <mergeCell ref="F43:G43"/>
    <mergeCell ref="F58:G58"/>
    <mergeCell ref="A64:E64"/>
    <mergeCell ref="A62:C62"/>
    <mergeCell ref="A61:B61"/>
    <mergeCell ref="D1:F1"/>
  </mergeCells>
  <phoneticPr fontId="3" type="noConversion"/>
  <printOptions horizontalCentered="1"/>
  <pageMargins left="0.5" right="0.5" top="0.5" bottom="0.25" header="0.5" footer="0.44"/>
  <pageSetup scale="80" orientation="portrait" r:id="rId1"/>
  <headerFooter alignWithMargins="0"/>
  <rowBreaks count="1" manualBreakCount="1">
    <brk id="4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A13" sqref="A13"/>
    </sheetView>
  </sheetViews>
  <sheetFormatPr defaultRowHeight="18.75" customHeight="1" x14ac:dyDescent="0.2"/>
  <cols>
    <col min="1" max="1" width="2.140625" customWidth="1"/>
    <col min="2" max="2" width="12.28515625" customWidth="1"/>
    <col min="3" max="3" width="31.7109375" customWidth="1"/>
    <col min="4" max="4" width="18" customWidth="1"/>
  </cols>
  <sheetData>
    <row r="1" spans="1:4" ht="18.75" customHeight="1" x14ac:dyDescent="0.2">
      <c r="A1" s="65"/>
      <c r="B1" s="64" t="s">
        <v>49</v>
      </c>
      <c r="C1" s="64" t="s">
        <v>50</v>
      </c>
      <c r="D1" s="64" t="s">
        <v>51</v>
      </c>
    </row>
    <row r="2" spans="1:4" ht="18.75" customHeight="1" x14ac:dyDescent="0.2">
      <c r="B2" s="135" t="s">
        <v>52</v>
      </c>
      <c r="C2" s="67" t="s">
        <v>53</v>
      </c>
      <c r="D2" s="66">
        <f>SUM('SBS Estimate'!E38)-('SBS Estimate'!E36)</f>
        <v>73267.5</v>
      </c>
    </row>
    <row r="3" spans="1:4" ht="18.75" customHeight="1" x14ac:dyDescent="0.2">
      <c r="B3" s="135" t="s">
        <v>56</v>
      </c>
      <c r="C3" s="67" t="s">
        <v>57</v>
      </c>
      <c r="D3" s="66">
        <f>'SBS Estimate'!E36</f>
        <v>1150</v>
      </c>
    </row>
    <row r="4" spans="1:4" ht="18.75" customHeight="1" x14ac:dyDescent="0.2">
      <c r="B4" s="135" t="s">
        <v>54</v>
      </c>
      <c r="C4" s="67" t="s">
        <v>55</v>
      </c>
      <c r="D4" s="66">
        <f>SUM('SBS Estimate'!E62-'Job Codes'!D5)</f>
        <v>30868.028125000001</v>
      </c>
    </row>
    <row r="5" spans="1:4" ht="18.75" customHeight="1" x14ac:dyDescent="0.2">
      <c r="B5" s="135" t="s">
        <v>58</v>
      </c>
      <c r="C5" s="67" t="s">
        <v>132</v>
      </c>
      <c r="D5" s="66">
        <f>SUM('SBS Estimate'!E53+'SBS Estimate'!E54)*('SBS Estimate'!D57+1)*('SBS Estimate'!D59+1)*('SBS Estimate'!D61+1)</f>
        <v>3011.5593749999998</v>
      </c>
    </row>
    <row r="6" spans="1:4" ht="18.75" customHeight="1" x14ac:dyDescent="0.2">
      <c r="B6" s="135" t="s">
        <v>63</v>
      </c>
      <c r="C6" s="67" t="s">
        <v>64</v>
      </c>
      <c r="D6" s="66">
        <f>'SBS Estimate'!E67</f>
        <v>1950</v>
      </c>
    </row>
    <row r="7" spans="1:4" ht="18.75" customHeight="1" x14ac:dyDescent="0.2">
      <c r="B7" s="135" t="s">
        <v>59</v>
      </c>
      <c r="C7" s="67" t="s">
        <v>60</v>
      </c>
      <c r="D7" s="66">
        <f>'SBS Estimate'!E68</f>
        <v>0</v>
      </c>
    </row>
    <row r="8" spans="1:4" ht="18.75" customHeight="1" x14ac:dyDescent="0.2">
      <c r="B8" s="135" t="s">
        <v>61</v>
      </c>
      <c r="C8" s="67" t="s">
        <v>62</v>
      </c>
      <c r="D8" s="66">
        <f>'SBS Estimate'!E69</f>
        <v>1770</v>
      </c>
    </row>
    <row r="9" spans="1:4" ht="18.75" customHeight="1" x14ac:dyDescent="0.2">
      <c r="B9" s="135" t="s">
        <v>65</v>
      </c>
      <c r="C9" s="67" t="s">
        <v>66</v>
      </c>
      <c r="D9" s="66">
        <f>'SBS Estimate'!E70</f>
        <v>2300</v>
      </c>
    </row>
    <row r="10" spans="1:4" ht="18.75" customHeight="1" x14ac:dyDescent="0.2">
      <c r="B10" s="135" t="s">
        <v>73</v>
      </c>
      <c r="C10" s="67" t="s">
        <v>67</v>
      </c>
      <c r="D10" s="66">
        <f>SUM('SBS Estimate'!E66+'SBS Estimate'!E71)</f>
        <v>0</v>
      </c>
    </row>
    <row r="11" spans="1:4" ht="18.75" customHeight="1" x14ac:dyDescent="0.2">
      <c r="B11" s="135" t="s">
        <v>68</v>
      </c>
      <c r="C11" s="67" t="s">
        <v>69</v>
      </c>
      <c r="D11" s="66">
        <f>'SBS Estimate'!E72</f>
        <v>15000</v>
      </c>
    </row>
    <row r="12" spans="1:4" ht="18.75" customHeight="1" x14ac:dyDescent="0.2">
      <c r="B12" s="135" t="s">
        <v>70</v>
      </c>
      <c r="C12" s="67" t="s">
        <v>131</v>
      </c>
      <c r="D12" s="66">
        <f>'SBS Estimate'!E73</f>
        <v>5000</v>
      </c>
    </row>
    <row r="13" spans="1:4" ht="18.75" customHeight="1" x14ac:dyDescent="0.2">
      <c r="B13" s="135" t="s">
        <v>71</v>
      </c>
      <c r="C13" s="67" t="s">
        <v>72</v>
      </c>
      <c r="D13" s="66">
        <f>'SBS Estimate'!E74</f>
        <v>318</v>
      </c>
    </row>
    <row r="14" spans="1:4" ht="18.75" customHeight="1" x14ac:dyDescent="0.2">
      <c r="B14" s="135" t="s">
        <v>76</v>
      </c>
      <c r="C14" s="67" t="s">
        <v>77</v>
      </c>
      <c r="D14" s="66">
        <f>'SBS Estimate'!E75+'SBS Estimate'!E77+'SBS Estimate'!E78</f>
        <v>1268</v>
      </c>
    </row>
    <row r="15" spans="1:4" ht="18.75" customHeight="1" x14ac:dyDescent="0.2">
      <c r="B15" s="135" t="s">
        <v>74</v>
      </c>
      <c r="C15" s="67" t="s">
        <v>75</v>
      </c>
      <c r="D15" s="66">
        <f>'SBS Estimate'!E76</f>
        <v>690</v>
      </c>
    </row>
    <row r="16" spans="1:4" ht="18.75" customHeight="1" x14ac:dyDescent="0.2">
      <c r="B16" s="136" t="s">
        <v>78</v>
      </c>
      <c r="C16" s="68" t="s">
        <v>14</v>
      </c>
      <c r="D16" s="70">
        <f>'SBS Estimate'!E83</f>
        <v>3666.938365</v>
      </c>
    </row>
    <row r="17" spans="2:4" ht="18.75" customHeight="1" thickBot="1" x14ac:dyDescent="0.25">
      <c r="B17" s="137"/>
      <c r="C17" s="77" t="s">
        <v>13</v>
      </c>
      <c r="D17" s="78">
        <f>'SBS Estimate'!E82</f>
        <v>46753.830750000001</v>
      </c>
    </row>
    <row r="18" spans="2:4" ht="18.75" customHeight="1" thickBot="1" x14ac:dyDescent="0.3">
      <c r="B18" s="138" t="s">
        <v>79</v>
      </c>
      <c r="C18" s="69" t="s">
        <v>80</v>
      </c>
      <c r="D18" s="71">
        <f>'SBS Estimate'!E84</f>
        <v>187013.856615</v>
      </c>
    </row>
  </sheetData>
  <sheetProtection sheet="1" objects="1" scenarios="1" selectLockedCell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3"/>
  <sheetViews>
    <sheetView workbookViewId="0">
      <selection activeCell="B12" sqref="B12:C12"/>
    </sheetView>
  </sheetViews>
  <sheetFormatPr defaultRowHeight="12.75" x14ac:dyDescent="0.2"/>
  <cols>
    <col min="1" max="1" width="1.5703125" customWidth="1"/>
    <col min="2" max="2" width="32" customWidth="1"/>
    <col min="3" max="3" width="16.85546875" customWidth="1"/>
    <col min="4" max="4" width="15.42578125" customWidth="1"/>
    <col min="5" max="5" width="13.85546875" customWidth="1"/>
    <col min="6" max="8" width="15.42578125" customWidth="1"/>
    <col min="9" max="9" width="11.5703125" customWidth="1"/>
    <col min="10" max="10" width="15.42578125" customWidth="1"/>
  </cols>
  <sheetData>
    <row r="1" spans="1:10" ht="5.25" customHeight="1" thickBot="1" x14ac:dyDescent="0.25"/>
    <row r="2" spans="1:10" ht="21" thickBot="1" x14ac:dyDescent="0.35">
      <c r="A2" s="99"/>
      <c r="B2" s="164" t="s">
        <v>126</v>
      </c>
      <c r="C2" s="165"/>
      <c r="D2" s="165"/>
      <c r="E2" s="165"/>
      <c r="F2" s="165"/>
      <c r="G2" s="165"/>
      <c r="H2" s="165"/>
      <c r="I2" s="165"/>
      <c r="J2" s="166"/>
    </row>
    <row r="3" spans="1:10" ht="20.100000000000001" customHeight="1" x14ac:dyDescent="0.2">
      <c r="A3" s="99"/>
      <c r="B3" s="100" t="s">
        <v>15</v>
      </c>
      <c r="C3" s="167" t="s">
        <v>127</v>
      </c>
      <c r="D3" s="168"/>
      <c r="E3" s="169"/>
      <c r="F3" s="170"/>
      <c r="G3" s="171"/>
      <c r="H3" s="171"/>
      <c r="I3" s="171"/>
      <c r="J3" s="172"/>
    </row>
    <row r="4" spans="1:10" ht="20.100000000000001" customHeight="1" x14ac:dyDescent="0.25">
      <c r="A4" s="99"/>
      <c r="B4" s="160" t="s">
        <v>92</v>
      </c>
      <c r="C4" s="161"/>
      <c r="D4" s="175" t="s">
        <v>93</v>
      </c>
      <c r="E4" s="176"/>
      <c r="F4" s="176"/>
      <c r="G4" s="176"/>
      <c r="H4" s="177"/>
      <c r="I4" s="181">
        <v>42035</v>
      </c>
      <c r="J4" s="182"/>
    </row>
    <row r="5" spans="1:10" ht="20.100000000000001" customHeight="1" thickBot="1" x14ac:dyDescent="0.3">
      <c r="A5" s="99"/>
      <c r="B5" s="162" t="s">
        <v>94</v>
      </c>
      <c r="C5" s="163"/>
      <c r="D5" s="178"/>
      <c r="E5" s="179"/>
      <c r="F5" s="179"/>
      <c r="G5" s="179"/>
      <c r="H5" s="180"/>
      <c r="I5" s="183"/>
      <c r="J5" s="184"/>
    </row>
    <row r="6" spans="1:10" ht="20.100000000000001" customHeight="1" thickBot="1" x14ac:dyDescent="0.3">
      <c r="A6" s="99"/>
      <c r="B6" s="185" t="s">
        <v>95</v>
      </c>
      <c r="C6" s="197">
        <f>'SBS Estimate'!E84</f>
        <v>187013.856615</v>
      </c>
      <c r="D6" s="87" t="s">
        <v>96</v>
      </c>
      <c r="E6" s="88" t="s">
        <v>97</v>
      </c>
      <c r="F6" s="88" t="s">
        <v>98</v>
      </c>
      <c r="G6" s="88" t="s">
        <v>99</v>
      </c>
      <c r="H6" s="89" t="s">
        <v>100</v>
      </c>
      <c r="I6" s="88" t="s">
        <v>101</v>
      </c>
      <c r="J6" s="90" t="s">
        <v>102</v>
      </c>
    </row>
    <row r="7" spans="1:10" ht="20.100000000000001" customHeight="1" thickTop="1" thickBot="1" x14ac:dyDescent="0.25">
      <c r="A7" s="99"/>
      <c r="B7" s="186"/>
      <c r="C7" s="198"/>
      <c r="D7" s="199"/>
      <c r="E7" s="199"/>
      <c r="F7" s="199"/>
      <c r="G7" s="199"/>
      <c r="H7" s="199"/>
      <c r="I7" s="199"/>
      <c r="J7" s="200"/>
    </row>
    <row r="8" spans="1:10" ht="20.100000000000001" customHeight="1" x14ac:dyDescent="0.2">
      <c r="A8" s="99"/>
      <c r="B8" s="173"/>
      <c r="C8" s="174"/>
      <c r="D8" s="201"/>
      <c r="E8" s="201"/>
      <c r="F8" s="201"/>
      <c r="G8" s="201"/>
      <c r="H8" s="201"/>
      <c r="I8" s="201"/>
      <c r="J8" s="202"/>
    </row>
    <row r="9" spans="1:10" ht="20.100000000000001" customHeight="1" x14ac:dyDescent="0.25">
      <c r="A9" s="99"/>
      <c r="B9" s="157" t="s">
        <v>103</v>
      </c>
      <c r="C9" s="158"/>
      <c r="D9" s="80"/>
      <c r="E9" s="84"/>
      <c r="F9" s="81"/>
      <c r="G9" s="82"/>
      <c r="H9" s="83"/>
      <c r="I9" s="67"/>
      <c r="J9" s="91"/>
    </row>
    <row r="10" spans="1:10" ht="20.100000000000001" customHeight="1" x14ac:dyDescent="0.2">
      <c r="A10" s="99"/>
      <c r="B10" s="155" t="s">
        <v>104</v>
      </c>
      <c r="C10" s="156"/>
      <c r="D10" s="92">
        <f>SUM('SBS Estimate'!E6:E33)*('SBS Estimate'!F82)+SUM('SBS Estimate'!E6:E33)</f>
        <v>89454.515283245375</v>
      </c>
      <c r="E10" s="110">
        <v>0</v>
      </c>
      <c r="F10" s="94">
        <f>D10*E10</f>
        <v>0</v>
      </c>
      <c r="G10" s="115">
        <v>0</v>
      </c>
      <c r="H10" s="83">
        <f>D10*E10-G10</f>
        <v>0</v>
      </c>
      <c r="I10" s="86">
        <f>1-E10</f>
        <v>1</v>
      </c>
      <c r="J10" s="96">
        <f>I10*D10</f>
        <v>89454.515283245375</v>
      </c>
    </row>
    <row r="11" spans="1:10" ht="20.100000000000001" customHeight="1" x14ac:dyDescent="0.2">
      <c r="A11" s="99"/>
      <c r="B11" s="155" t="s">
        <v>105</v>
      </c>
      <c r="C11" s="156"/>
      <c r="D11" s="92">
        <f>SUM('SBS Estimate'!E34:E35)*('SBS Estimate'!F82)+SUM('SBS Estimate'!E34:E35)</f>
        <v>937.50147019687461</v>
      </c>
      <c r="E11" s="110">
        <v>0</v>
      </c>
      <c r="F11" s="94">
        <f>D11*E11</f>
        <v>0</v>
      </c>
      <c r="G11" s="115">
        <v>0</v>
      </c>
      <c r="H11" s="83">
        <f>D11*E11-G11</f>
        <v>0</v>
      </c>
      <c r="I11" s="86">
        <f>1-E11</f>
        <v>1</v>
      </c>
      <c r="J11" s="96">
        <f>I11*D11</f>
        <v>937.50147019687461</v>
      </c>
    </row>
    <row r="12" spans="1:10" ht="20.100000000000001" customHeight="1" x14ac:dyDescent="0.2">
      <c r="A12" s="99"/>
      <c r="B12" s="155" t="s">
        <v>106</v>
      </c>
      <c r="C12" s="156"/>
      <c r="D12" s="92">
        <f>SUM('SBS Estimate'!E36)*('SBS Estimate'!F82)+('SBS Estimate'!E36)</f>
        <v>1437.5022543018745</v>
      </c>
      <c r="E12" s="110">
        <v>0</v>
      </c>
      <c r="F12" s="94">
        <f>D12*E12</f>
        <v>0</v>
      </c>
      <c r="G12" s="115">
        <v>0</v>
      </c>
      <c r="H12" s="83">
        <f>D12*E12-G12</f>
        <v>0</v>
      </c>
      <c r="I12" s="86">
        <f>1-E12</f>
        <v>1</v>
      </c>
      <c r="J12" s="96">
        <f>I12*D12</f>
        <v>1437.5022543018745</v>
      </c>
    </row>
    <row r="13" spans="1:10" ht="20.100000000000001" customHeight="1" x14ac:dyDescent="0.2">
      <c r="A13" s="99"/>
      <c r="B13" s="189"/>
      <c r="C13" s="189"/>
      <c r="D13" s="189"/>
      <c r="E13" s="189"/>
      <c r="F13" s="189"/>
      <c r="G13" s="189"/>
      <c r="H13" s="189"/>
      <c r="I13" s="189"/>
      <c r="J13" s="190"/>
    </row>
    <row r="14" spans="1:10" ht="20.100000000000001" customHeight="1" x14ac:dyDescent="0.25">
      <c r="A14" s="99"/>
      <c r="B14" s="157" t="s">
        <v>6</v>
      </c>
      <c r="C14" s="158"/>
      <c r="D14" s="92"/>
      <c r="E14" s="85"/>
      <c r="F14" s="94"/>
      <c r="G14" s="95"/>
      <c r="H14" s="83"/>
      <c r="I14" s="86"/>
      <c r="J14" s="96"/>
    </row>
    <row r="15" spans="1:10" ht="20.100000000000001" customHeight="1" x14ac:dyDescent="0.2">
      <c r="A15" s="99"/>
      <c r="B15" s="155" t="s">
        <v>107</v>
      </c>
      <c r="C15" s="156"/>
      <c r="D15" s="92">
        <f>'SBS Estimate'!E44*('SBS Estimate'!D57+1)*('SBS Estimate'!D59+1)*('SBS Estimate'!D61+1)*('SBS Estimate'!F82+1)</f>
        <v>3753.0683855901411</v>
      </c>
      <c r="E15" s="110">
        <v>0</v>
      </c>
      <c r="F15" s="94">
        <f>D15*E15</f>
        <v>0</v>
      </c>
      <c r="G15" s="115">
        <v>0</v>
      </c>
      <c r="H15" s="83">
        <f>D15*E15-G15</f>
        <v>0</v>
      </c>
      <c r="I15" s="86">
        <f>1-E15</f>
        <v>1</v>
      </c>
      <c r="J15" s="96">
        <f>I15*D15</f>
        <v>3753.0683855901411</v>
      </c>
    </row>
    <row r="16" spans="1:10" ht="20.100000000000001" customHeight="1" x14ac:dyDescent="0.2">
      <c r="A16" s="99"/>
      <c r="B16" s="155" t="s">
        <v>84</v>
      </c>
      <c r="C16" s="156"/>
      <c r="D16" s="92">
        <f>'SBS Estimate'!E45*('SBS Estimate'!D57+1)*('SBS Estimate'!D59+1)*('SBS Estimate'!D61+1)*('SBS Estimate'!F82+1)</f>
        <v>7506.1367711802823</v>
      </c>
      <c r="E16" s="110">
        <v>0</v>
      </c>
      <c r="F16" s="94">
        <f>D16*E16</f>
        <v>0</v>
      </c>
      <c r="G16" s="115">
        <v>0</v>
      </c>
      <c r="H16" s="83">
        <f>D16*E16-G16</f>
        <v>0</v>
      </c>
      <c r="I16" s="86">
        <f>1-E16</f>
        <v>1</v>
      </c>
      <c r="J16" s="96">
        <f>I16*D16</f>
        <v>7506.1367711802823</v>
      </c>
    </row>
    <row r="17" spans="1:10" ht="20.100000000000001" customHeight="1" x14ac:dyDescent="0.2">
      <c r="A17" s="99"/>
      <c r="B17" s="155" t="s">
        <v>108</v>
      </c>
      <c r="C17" s="156"/>
      <c r="D17" s="92">
        <f>SUM('SBS Estimate'!E46:E56)*('SBS Estimate'!D57+1)*('SBS Estimate'!D59+1)*('SBS Estimate'!D61+1)*('SBS Estimate'!F82+1)-(D18)</f>
        <v>27325.89050891755</v>
      </c>
      <c r="E17" s="110">
        <v>0</v>
      </c>
      <c r="F17" s="94">
        <f>D17*E17</f>
        <v>0</v>
      </c>
      <c r="G17" s="115">
        <v>0</v>
      </c>
      <c r="H17" s="83">
        <f>D17*E17-G17</f>
        <v>0</v>
      </c>
      <c r="I17" s="86">
        <f>1-E17</f>
        <v>1</v>
      </c>
      <c r="J17" s="96">
        <f>I17*D17</f>
        <v>27325.89050891755</v>
      </c>
    </row>
    <row r="18" spans="1:10" ht="20.100000000000001" customHeight="1" x14ac:dyDescent="0.2">
      <c r="A18" s="99"/>
      <c r="B18" s="155" t="s">
        <v>109</v>
      </c>
      <c r="C18" s="156"/>
      <c r="D18" s="92">
        <f>SUM('SBS Estimate'!E53:E54)*('SBS Estimate'!D57+1)*('SBS Estimate'!D59+1)*('SBS Estimate'!D61+1)*('SBS Estimate'!F82+1)</f>
        <v>3764.4551221969073</v>
      </c>
      <c r="E18" s="110">
        <v>0</v>
      </c>
      <c r="F18" s="94">
        <f>D18*E18</f>
        <v>0</v>
      </c>
      <c r="G18" s="115">
        <v>0</v>
      </c>
      <c r="H18" s="83">
        <f>D18*E18-G18</f>
        <v>0</v>
      </c>
      <c r="I18" s="86">
        <f>1-E18</f>
        <v>1</v>
      </c>
      <c r="J18" s="96">
        <f>I18*D18</f>
        <v>3764.4551221969073</v>
      </c>
    </row>
    <row r="19" spans="1:10" ht="20.100000000000001" customHeight="1" x14ac:dyDescent="0.2">
      <c r="A19" s="99"/>
      <c r="B19" s="189"/>
      <c r="C19" s="189"/>
      <c r="D19" s="189"/>
      <c r="E19" s="189"/>
      <c r="F19" s="189"/>
      <c r="G19" s="189"/>
      <c r="H19" s="189"/>
      <c r="I19" s="189"/>
      <c r="J19" s="190"/>
    </row>
    <row r="20" spans="1:10" ht="20.100000000000001" customHeight="1" x14ac:dyDescent="0.25">
      <c r="A20" s="99"/>
      <c r="B20" s="157" t="s">
        <v>110</v>
      </c>
      <c r="C20" s="158"/>
      <c r="D20" s="92"/>
      <c r="E20" s="85"/>
      <c r="F20" s="94"/>
      <c r="G20" s="95"/>
      <c r="H20" s="83"/>
      <c r="I20" s="86"/>
      <c r="J20" s="96"/>
    </row>
    <row r="21" spans="1:10" ht="20.100000000000001" customHeight="1" x14ac:dyDescent="0.2">
      <c r="A21" s="99"/>
      <c r="B21" s="155" t="s">
        <v>14</v>
      </c>
      <c r="C21" s="156"/>
      <c r="D21" s="92">
        <f>'SBS Estimate'!E83*2</f>
        <v>7333.87673</v>
      </c>
      <c r="E21" s="110">
        <v>0</v>
      </c>
      <c r="F21" s="94">
        <f t="shared" ref="F21:F31" si="0">D21*E21</f>
        <v>0</v>
      </c>
      <c r="G21" s="115">
        <v>0</v>
      </c>
      <c r="H21" s="83">
        <f t="shared" ref="H21:H31" si="1">D21*E21-G21</f>
        <v>0</v>
      </c>
      <c r="I21" s="86">
        <f t="shared" ref="I21:I31" si="2">1-E21</f>
        <v>1</v>
      </c>
      <c r="J21" s="96">
        <f t="shared" ref="J21:J31" si="3">I21*D21</f>
        <v>7333.87673</v>
      </c>
    </row>
    <row r="22" spans="1:10" ht="20.100000000000001" customHeight="1" x14ac:dyDescent="0.2">
      <c r="A22" s="99"/>
      <c r="B22" s="155" t="s">
        <v>111</v>
      </c>
      <c r="C22" s="156"/>
      <c r="D22" s="92">
        <f>'SBS Estimate'!E69</f>
        <v>1770</v>
      </c>
      <c r="E22" s="110">
        <v>0</v>
      </c>
      <c r="F22" s="94">
        <f t="shared" si="0"/>
        <v>0</v>
      </c>
      <c r="G22" s="115">
        <v>0</v>
      </c>
      <c r="H22" s="83">
        <f t="shared" si="1"/>
        <v>0</v>
      </c>
      <c r="I22" s="86">
        <f t="shared" si="2"/>
        <v>1</v>
      </c>
      <c r="J22" s="96">
        <f t="shared" si="3"/>
        <v>1770</v>
      </c>
    </row>
    <row r="23" spans="1:10" ht="20.100000000000001" customHeight="1" x14ac:dyDescent="0.2">
      <c r="A23" s="99"/>
      <c r="B23" s="155" t="s">
        <v>112</v>
      </c>
      <c r="C23" s="156"/>
      <c r="D23" s="92">
        <f>'SBS Estimate'!E70</f>
        <v>2300</v>
      </c>
      <c r="E23" s="110">
        <v>0</v>
      </c>
      <c r="F23" s="94">
        <f t="shared" si="0"/>
        <v>0</v>
      </c>
      <c r="G23" s="115">
        <v>0</v>
      </c>
      <c r="H23" s="83">
        <f t="shared" si="1"/>
        <v>0</v>
      </c>
      <c r="I23" s="86">
        <f t="shared" si="2"/>
        <v>1</v>
      </c>
      <c r="J23" s="96">
        <f t="shared" si="3"/>
        <v>2300</v>
      </c>
    </row>
    <row r="24" spans="1:10" ht="20.100000000000001" customHeight="1" x14ac:dyDescent="0.2">
      <c r="A24" s="99"/>
      <c r="B24" s="155" t="s">
        <v>113</v>
      </c>
      <c r="C24" s="156"/>
      <c r="D24" s="92">
        <f>SUM('SBS Estimate'!E67+'SBS Estimate'!E76)</f>
        <v>2640</v>
      </c>
      <c r="E24" s="110">
        <v>0</v>
      </c>
      <c r="F24" s="94">
        <f t="shared" si="0"/>
        <v>0</v>
      </c>
      <c r="G24" s="115">
        <v>0</v>
      </c>
      <c r="H24" s="83">
        <f t="shared" si="1"/>
        <v>0</v>
      </c>
      <c r="I24" s="86">
        <f t="shared" si="2"/>
        <v>1</v>
      </c>
      <c r="J24" s="96">
        <f t="shared" si="3"/>
        <v>2640</v>
      </c>
    </row>
    <row r="25" spans="1:10" ht="20.100000000000001" customHeight="1" x14ac:dyDescent="0.2">
      <c r="A25" s="99"/>
      <c r="B25" s="159" t="s">
        <v>130</v>
      </c>
      <c r="C25" s="156"/>
      <c r="D25" s="92">
        <f>'SBS Estimate'!E73*('SBS Estimate'!F82+1)</f>
        <v>6250.0098013124971</v>
      </c>
      <c r="E25" s="110">
        <v>0</v>
      </c>
      <c r="F25" s="94">
        <f t="shared" si="0"/>
        <v>0</v>
      </c>
      <c r="G25" s="115">
        <v>0</v>
      </c>
      <c r="H25" s="83">
        <f t="shared" si="1"/>
        <v>0</v>
      </c>
      <c r="I25" s="86">
        <f t="shared" si="2"/>
        <v>1</v>
      </c>
      <c r="J25" s="96">
        <f t="shared" si="3"/>
        <v>6250.0098013124971</v>
      </c>
    </row>
    <row r="26" spans="1:10" ht="20.100000000000001" customHeight="1" x14ac:dyDescent="0.2">
      <c r="A26" s="99"/>
      <c r="B26" s="155" t="s">
        <v>114</v>
      </c>
      <c r="C26" s="156"/>
      <c r="D26" s="92">
        <f>'SBS Estimate'!E72*('SBS Estimate'!F82+1)</f>
        <v>18750.029403937493</v>
      </c>
      <c r="E26" s="110">
        <v>0</v>
      </c>
      <c r="F26" s="94">
        <f t="shared" si="0"/>
        <v>0</v>
      </c>
      <c r="G26" s="115">
        <v>0</v>
      </c>
      <c r="H26" s="83">
        <f t="shared" si="1"/>
        <v>0</v>
      </c>
      <c r="I26" s="86">
        <f t="shared" si="2"/>
        <v>1</v>
      </c>
      <c r="J26" s="96">
        <f t="shared" si="3"/>
        <v>18750.029403937493</v>
      </c>
    </row>
    <row r="27" spans="1:10" ht="20.100000000000001" customHeight="1" x14ac:dyDescent="0.2">
      <c r="A27" s="99"/>
      <c r="B27" s="155" t="s">
        <v>115</v>
      </c>
      <c r="C27" s="156"/>
      <c r="D27" s="92">
        <f>'SBS Estimate'!E68</f>
        <v>0</v>
      </c>
      <c r="E27" s="110">
        <v>0</v>
      </c>
      <c r="F27" s="94">
        <f t="shared" si="0"/>
        <v>0</v>
      </c>
      <c r="G27" s="115">
        <v>0</v>
      </c>
      <c r="H27" s="83">
        <f t="shared" si="1"/>
        <v>0</v>
      </c>
      <c r="I27" s="86">
        <f t="shared" si="2"/>
        <v>1</v>
      </c>
      <c r="J27" s="96">
        <f t="shared" si="3"/>
        <v>0</v>
      </c>
    </row>
    <row r="28" spans="1:10" ht="20.100000000000001" customHeight="1" x14ac:dyDescent="0.2">
      <c r="A28" s="99"/>
      <c r="B28" s="155" t="s">
        <v>116</v>
      </c>
      <c r="C28" s="156"/>
      <c r="D28" s="92">
        <f>SUM('SBS Estimate'!E74:E75)</f>
        <v>636</v>
      </c>
      <c r="E28" s="110">
        <v>0</v>
      </c>
      <c r="F28" s="94">
        <f t="shared" si="0"/>
        <v>0</v>
      </c>
      <c r="G28" s="115">
        <v>0</v>
      </c>
      <c r="H28" s="83">
        <f t="shared" si="1"/>
        <v>0</v>
      </c>
      <c r="I28" s="86">
        <f t="shared" si="2"/>
        <v>1</v>
      </c>
      <c r="J28" s="96">
        <f t="shared" si="3"/>
        <v>636</v>
      </c>
    </row>
    <row r="29" spans="1:10" ht="20.100000000000001" customHeight="1" x14ac:dyDescent="0.2">
      <c r="A29" s="99"/>
      <c r="B29" s="155" t="s">
        <v>117</v>
      </c>
      <c r="C29" s="156"/>
      <c r="D29" s="92">
        <f>SUM('SBS Estimate'!E66+'SBS Estimate'!E71)</f>
        <v>0</v>
      </c>
      <c r="E29" s="110">
        <v>0</v>
      </c>
      <c r="F29" s="94">
        <f t="shared" si="0"/>
        <v>0</v>
      </c>
      <c r="G29" s="115">
        <v>0</v>
      </c>
      <c r="H29" s="83">
        <f t="shared" si="1"/>
        <v>0</v>
      </c>
      <c r="I29" s="86">
        <f t="shared" si="2"/>
        <v>1</v>
      </c>
      <c r="J29" s="96">
        <f t="shared" si="3"/>
        <v>0</v>
      </c>
    </row>
    <row r="30" spans="1:10" ht="20.100000000000001" customHeight="1" x14ac:dyDescent="0.2">
      <c r="A30" s="99"/>
      <c r="B30" s="159" t="s">
        <v>118</v>
      </c>
      <c r="C30" s="156"/>
      <c r="D30" s="92">
        <f>'SBS Estimate'!E79</f>
        <v>0</v>
      </c>
      <c r="E30" s="110">
        <v>0</v>
      </c>
      <c r="F30" s="94">
        <f t="shared" si="0"/>
        <v>0</v>
      </c>
      <c r="G30" s="115">
        <v>0</v>
      </c>
      <c r="H30" s="83">
        <f t="shared" si="1"/>
        <v>0</v>
      </c>
      <c r="I30" s="86">
        <f t="shared" si="2"/>
        <v>1</v>
      </c>
      <c r="J30" s="96">
        <f t="shared" si="3"/>
        <v>0</v>
      </c>
    </row>
    <row r="31" spans="1:10" ht="20.100000000000001" customHeight="1" x14ac:dyDescent="0.2">
      <c r="A31" s="99"/>
      <c r="B31" s="155" t="s">
        <v>119</v>
      </c>
      <c r="C31" s="156"/>
      <c r="D31" s="92">
        <f>C6-SUM(D10:D30)</f>
        <v>13154.870884121017</v>
      </c>
      <c r="E31" s="110">
        <v>0</v>
      </c>
      <c r="F31" s="94">
        <f t="shared" si="0"/>
        <v>0</v>
      </c>
      <c r="G31" s="115">
        <v>0</v>
      </c>
      <c r="H31" s="83">
        <f t="shared" si="1"/>
        <v>0</v>
      </c>
      <c r="I31" s="86">
        <f t="shared" si="2"/>
        <v>1</v>
      </c>
      <c r="J31" s="96">
        <f t="shared" si="3"/>
        <v>13154.870884121017</v>
      </c>
    </row>
    <row r="32" spans="1:10" ht="20.100000000000001" customHeight="1" x14ac:dyDescent="0.2">
      <c r="B32" s="191"/>
      <c r="C32" s="192"/>
      <c r="D32" s="192"/>
      <c r="E32" s="192"/>
      <c r="F32" s="192"/>
      <c r="G32" s="192"/>
      <c r="H32" s="192"/>
      <c r="I32" s="192"/>
      <c r="J32" s="193"/>
    </row>
    <row r="33" spans="2:10" ht="20.100000000000001" customHeight="1" x14ac:dyDescent="0.2">
      <c r="B33" s="194"/>
      <c r="C33" s="195"/>
      <c r="D33" s="195"/>
      <c r="E33" s="195"/>
      <c r="F33" s="195"/>
      <c r="G33" s="195"/>
      <c r="H33" s="195"/>
      <c r="I33" s="195"/>
      <c r="J33" s="196"/>
    </row>
    <row r="34" spans="2:10" ht="20.100000000000001" customHeight="1" x14ac:dyDescent="0.25">
      <c r="B34" s="187" t="s">
        <v>120</v>
      </c>
      <c r="C34" s="158"/>
      <c r="D34" s="92"/>
      <c r="E34" s="85"/>
      <c r="F34" s="94"/>
      <c r="G34" s="95"/>
      <c r="H34" s="83"/>
      <c r="I34" s="86"/>
      <c r="J34" s="96"/>
    </row>
    <row r="35" spans="2:10" ht="20.100000000000001" customHeight="1" x14ac:dyDescent="0.2">
      <c r="B35" s="159"/>
      <c r="C35" s="156"/>
      <c r="D35" s="111">
        <v>0</v>
      </c>
      <c r="E35" s="110">
        <v>0</v>
      </c>
      <c r="F35" s="94">
        <f>D35*E35</f>
        <v>0</v>
      </c>
      <c r="G35" s="115">
        <v>0</v>
      </c>
      <c r="H35" s="83">
        <f>D35*E35-G35</f>
        <v>0</v>
      </c>
      <c r="I35" s="86">
        <f>1-E35</f>
        <v>1</v>
      </c>
      <c r="J35" s="96">
        <f>I35*D35</f>
        <v>0</v>
      </c>
    </row>
    <row r="36" spans="2:10" ht="20.100000000000001" customHeight="1" x14ac:dyDescent="0.2">
      <c r="B36" s="159"/>
      <c r="C36" s="156"/>
      <c r="D36" s="111">
        <v>0</v>
      </c>
      <c r="E36" s="110">
        <v>0</v>
      </c>
      <c r="F36" s="94">
        <f>D36*E36</f>
        <v>0</v>
      </c>
      <c r="G36" s="115">
        <v>0</v>
      </c>
      <c r="H36" s="83">
        <f>D36*E36-G36</f>
        <v>0</v>
      </c>
      <c r="I36" s="86">
        <f>1-E36</f>
        <v>1</v>
      </c>
      <c r="J36" s="96">
        <f>I36*D36</f>
        <v>0</v>
      </c>
    </row>
    <row r="37" spans="2:10" ht="20.100000000000001" customHeight="1" x14ac:dyDescent="0.2">
      <c r="B37" s="159"/>
      <c r="C37" s="156"/>
      <c r="D37" s="111">
        <v>0</v>
      </c>
      <c r="E37" s="110">
        <v>0</v>
      </c>
      <c r="F37" s="94">
        <f>D37*E37</f>
        <v>0</v>
      </c>
      <c r="G37" s="115">
        <v>0</v>
      </c>
      <c r="H37" s="83">
        <f>D37*E37-G37</f>
        <v>0</v>
      </c>
      <c r="I37" s="86">
        <f>1-E37</f>
        <v>1</v>
      </c>
      <c r="J37" s="96">
        <f>I37*D37</f>
        <v>0</v>
      </c>
    </row>
    <row r="38" spans="2:10" ht="20.100000000000001" customHeight="1" x14ac:dyDescent="0.2">
      <c r="B38" s="188"/>
      <c r="C38" s="189"/>
      <c r="D38" s="189"/>
      <c r="E38" s="189"/>
      <c r="F38" s="189"/>
      <c r="G38" s="189"/>
      <c r="H38" s="189"/>
      <c r="I38" s="189"/>
      <c r="J38" s="190"/>
    </row>
    <row r="39" spans="2:10" ht="20.100000000000001" customHeight="1" x14ac:dyDescent="0.25">
      <c r="B39" s="187" t="s">
        <v>121</v>
      </c>
      <c r="C39" s="158"/>
      <c r="D39" s="97">
        <f>SUM(D10:D37)</f>
        <v>187013.856615</v>
      </c>
      <c r="E39" s="101"/>
      <c r="F39" s="92">
        <f>SUM(F10:F37)</f>
        <v>0</v>
      </c>
      <c r="G39" s="103">
        <f>SUM(G10:G37)</f>
        <v>0</v>
      </c>
      <c r="H39" s="106">
        <f>SUM(H10:H37)</f>
        <v>0</v>
      </c>
      <c r="I39" s="101"/>
      <c r="J39" s="108">
        <f>SUM(J10:J37)</f>
        <v>187013.856615</v>
      </c>
    </row>
    <row r="40" spans="2:10" ht="20.100000000000001" customHeight="1" x14ac:dyDescent="0.2">
      <c r="B40" s="151" t="s">
        <v>122</v>
      </c>
      <c r="C40" s="152"/>
      <c r="D40" s="111">
        <f>-10%*D39</f>
        <v>-18701.3856615</v>
      </c>
      <c r="E40" s="101"/>
      <c r="F40" s="111">
        <f>-10%*F39</f>
        <v>0</v>
      </c>
      <c r="G40" s="112">
        <f>-10%*G39</f>
        <v>0</v>
      </c>
      <c r="H40" s="114">
        <f>-10%*H39</f>
        <v>0</v>
      </c>
      <c r="I40" s="101"/>
      <c r="J40" s="113">
        <f>-10%*J39</f>
        <v>-18701.3856615</v>
      </c>
    </row>
    <row r="41" spans="2:10" ht="20.100000000000001" customHeight="1" x14ac:dyDescent="0.2">
      <c r="B41" s="151" t="s">
        <v>123</v>
      </c>
      <c r="C41" s="152"/>
      <c r="D41" s="92">
        <f>SUM(D39:D40)</f>
        <v>168312.47095349999</v>
      </c>
      <c r="E41" s="101"/>
      <c r="F41" s="92">
        <f>SUM(F39:F40)</f>
        <v>0</v>
      </c>
      <c r="G41" s="104">
        <f>SUM(G39:G40)</f>
        <v>0</v>
      </c>
      <c r="H41" s="107">
        <f>SUM(H39:H40)</f>
        <v>0</v>
      </c>
      <c r="I41" s="101"/>
      <c r="J41" s="98">
        <f>SUM(J39:J40)</f>
        <v>168312.47095349999</v>
      </c>
    </row>
    <row r="42" spans="2:10" ht="20.100000000000001" customHeight="1" x14ac:dyDescent="0.2">
      <c r="B42" s="151" t="s">
        <v>124</v>
      </c>
      <c r="C42" s="152"/>
      <c r="D42" s="92">
        <f>D41*0.05</f>
        <v>8415.6235476749989</v>
      </c>
      <c r="E42" s="101"/>
      <c r="F42" s="92">
        <f>F41*0.05</f>
        <v>0</v>
      </c>
      <c r="G42" s="92">
        <f>G41*0.05</f>
        <v>0</v>
      </c>
      <c r="H42" s="107">
        <f>H41*0.05</f>
        <v>0</v>
      </c>
      <c r="I42" s="101"/>
      <c r="J42" s="98">
        <f>J41*0.05</f>
        <v>8415.6235476749989</v>
      </c>
    </row>
    <row r="43" spans="2:10" ht="20.100000000000001" customHeight="1" thickBot="1" x14ac:dyDescent="0.3">
      <c r="B43" s="153" t="s">
        <v>125</v>
      </c>
      <c r="C43" s="154"/>
      <c r="D43" s="93">
        <f>SUM(D41:D42)</f>
        <v>176728.09450117499</v>
      </c>
      <c r="E43" s="117">
        <f>F43/D43</f>
        <v>0</v>
      </c>
      <c r="F43" s="93">
        <f>SUM(F41:F42)</f>
        <v>0</v>
      </c>
      <c r="G43" s="93">
        <f>SUM(G41:G42)</f>
        <v>0</v>
      </c>
      <c r="H43" s="116">
        <f>SUM(H41:H42)</f>
        <v>0</v>
      </c>
      <c r="I43" s="105">
        <f>1-E43</f>
        <v>1</v>
      </c>
      <c r="J43" s="102">
        <f>SUM(J41:J42)</f>
        <v>176728.09450117499</v>
      </c>
    </row>
  </sheetData>
  <sheetProtection sheet="1" objects="1" scenarios="1" selectLockedCells="1"/>
  <mergeCells count="45">
    <mergeCell ref="C6:C7"/>
    <mergeCell ref="B19:J19"/>
    <mergeCell ref="D7:J8"/>
    <mergeCell ref="B13:J13"/>
    <mergeCell ref="B18:C18"/>
    <mergeCell ref="B39:C39"/>
    <mergeCell ref="B38:J38"/>
    <mergeCell ref="B36:C36"/>
    <mergeCell ref="B37:C37"/>
    <mergeCell ref="B31:C31"/>
    <mergeCell ref="B34:C34"/>
    <mergeCell ref="B35:C35"/>
    <mergeCell ref="B32:J33"/>
    <mergeCell ref="B4:C4"/>
    <mergeCell ref="B11:C11"/>
    <mergeCell ref="B23:C23"/>
    <mergeCell ref="B5:C5"/>
    <mergeCell ref="B2:J2"/>
    <mergeCell ref="C3:E3"/>
    <mergeCell ref="F3:J3"/>
    <mergeCell ref="B8:C8"/>
    <mergeCell ref="B9:C9"/>
    <mergeCell ref="B10:C10"/>
    <mergeCell ref="D4:H5"/>
    <mergeCell ref="I4:J5"/>
    <mergeCell ref="B14:C14"/>
    <mergeCell ref="B16:C16"/>
    <mergeCell ref="B17:C17"/>
    <mergeCell ref="B6:B7"/>
    <mergeCell ref="B42:C42"/>
    <mergeCell ref="B43:C43"/>
    <mergeCell ref="B12:C12"/>
    <mergeCell ref="B15:C15"/>
    <mergeCell ref="B26:C26"/>
    <mergeCell ref="B27:C27"/>
    <mergeCell ref="B28:C28"/>
    <mergeCell ref="B29:C29"/>
    <mergeCell ref="B21:C21"/>
    <mergeCell ref="B20:C20"/>
    <mergeCell ref="B30:C30"/>
    <mergeCell ref="B25:C25"/>
    <mergeCell ref="B41:C41"/>
    <mergeCell ref="B22:C22"/>
    <mergeCell ref="B24:C24"/>
    <mergeCell ref="B40:C40"/>
  </mergeCells>
  <pageMargins left="0.7" right="0.7" top="0.75" bottom="0.75" header="0.3" footer="0.3"/>
  <pageSetup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SBS Estimate</vt:lpstr>
      <vt:lpstr>Job Codes</vt:lpstr>
      <vt:lpstr>Schedule of Values</vt:lpstr>
      <vt:lpstr>'SBS Estimate'!MAN_HOURS</vt:lpstr>
      <vt:lpstr>'SBS Estimate'!Print_Area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 Singer</dc:creator>
  <cp:lastModifiedBy>Marianne Merchant</cp:lastModifiedBy>
  <cp:lastPrinted>2026-01-20T21:45:23Z</cp:lastPrinted>
  <dcterms:created xsi:type="dcterms:W3CDTF">2011-05-03T14:52:02Z</dcterms:created>
  <dcterms:modified xsi:type="dcterms:W3CDTF">2026-03-31T17:31:29Z</dcterms:modified>
</cp:coreProperties>
</file>